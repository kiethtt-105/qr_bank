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68BB683F-D84C-459D-8199-9B7D90EC88A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<sst xmlns="http://schemas.openxmlformats.org/spreadsheetml/2006/main" count="367" uniqueCount="267">
  <si>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</si>
  <si>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</si>
  <si>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</si>
  <si>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</si>
  <si>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</si>
  <si>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</si>
  <si>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</si>
  <si>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</si>
  <si>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</si>
  <si>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</si>
  <si>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</si>
  <si>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</si>
  <si>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</si>
  <si>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</si>
  <si>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</si>
  <si>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</si>
  <si>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</si>
  <si>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</si>
  <si>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</si>
  <si>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</si>
  <si>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</si>
  <si>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</si>
  <si>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</si>
  <si>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</si>
  <si>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</si>
  <si>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</si>
  <si>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</si>
  <si>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</si>
  <si>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</si>
  <si>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</si>
  <si>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</si>
  <si>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</si>
  <si>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</si>
  <si>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</si>
  <si>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</si>
  <si>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</si>
  <si>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</si>
  <si>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</si>
  <si>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</si>
  <si>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</si>
  <si>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</si>
  <si>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</si>
  <si>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</si>
  <si>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</si>
  <si>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</si>
  <si>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</si>
  <si>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</si>
  <si>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</si>
  <si>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</si>
  <si>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</si>
  <si>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</si>
  <si>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</si>
  <si>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</si>
  <si>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</si>
  <si>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</si>
  <si>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</si>
  <si>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</si>
  <si>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</si>
  <si>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</si>
  <si>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</si>
  <si>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</si>
  <si>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</si>
  <si>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</si>
  <si>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</si>
  <si>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</si>
  <si>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</si>
  <si>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</si>
  <si>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</si>
  <si>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</si>
  <si>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</si>
  <si>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</si>
  <si>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</si>
  <si>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</si>
  <si>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</si>
  <si>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</si>
  <si>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</si>
  <si>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</si>
  <si>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</si>
  <si>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</si>
  <si>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</si>
  <si>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</si>
  <si>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</si>
  <si>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</si>
  <si>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</si>
  <si>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</si>
  <si>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</si>
  <si>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</si>
  <si>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</si>
  <si>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</si>
  <si>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</si>
  <si>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</si>
  <si>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</si>
  <si>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</si>
  <si>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</si>
  <si>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</si>
  <si>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</si>
  <si>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</si>
  <si>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</si>
  <si>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</si>
  <si>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</si>
  <si>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</si>
  <si>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</si>
  <si>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</si>
  <si>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</si>
  <si>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</si>
  <si>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</si>
  <si>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</si>
  <si>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</si>
  <si>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</si>
  <si>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</si>
  <si>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</si>
  <si>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</si>
  <si>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</si>
  <si>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</si>
  <si>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</si>
  <si>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</si>
  <si>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</si>
  <si>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</si>
  <si>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</si>
  <si>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</si>
  <si>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</si>
  <si>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</si>
  <si>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</si>
  <si>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</si>
  <si>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</si>
  <si>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</si>
  <si>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</si>
  <si>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</si>
  <si>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</si>
  <si>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</si>
  <si>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</si>
  <si>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</si>
  <si>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</si>
  <si>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</si>
  <si>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</si>
  <si>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</si>
  <si>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</si>
  <si>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</si>
  <si>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</si>
  <si>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</si>
  <si>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</si>
  <si>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</si>
  <si>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</si>
  <si>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</si>
  <si>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</si>
  <si>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</si>
  <si>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</si>
  <si>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</si>
  <si>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</si>
  <si>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</si>
  <si>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</si>
  <si>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</si>
  <si>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</si>
  <si>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</si>
  <si>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</si>
  <si>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</si>
  <si>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</si>
  <si>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</si>
  <si>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</si>
  <si>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</si>
  <si>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</si>
  <si>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</si>
  <si>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</si>
  <si>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</si>
  <si>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</si>
  <si>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</si>
  <si>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</si>
  <si>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</si>
  <si>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</si>
  <si>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</si>
  <si>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</si>
  <si>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</si>
  <si>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</si>
  <si>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</si>
  <si>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</si>
  <si>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</si>
  <si>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</si>
  <si>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</si>
  <si>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</si>
  <si>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</si>
  <si>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</si>
  <si>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</si>
  <si>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</si>
  <si>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</si>
  <si>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</si>
  <si>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</si>
  <si>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</si>
  <si>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</si>
  <si>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</si>
  <si>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</si>
  <si>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</si>
  <si>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</si>
  <si>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</si>
  <si>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</si>
  <si>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</si>
  <si>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</si>
  <si>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</si>
  <si>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</si>
  <si>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</si>
  <si>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</si>
  <si>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</si>
  <si>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</si>
  <si>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</si>
  <si>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</si>
  <si>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</si>
  <si>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</si>
  <si>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</si>
  <si>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</si>
  <si>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</si>
  <si>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</si>
  <si>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</si>
  <si>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</si>
  <si>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</si>
  <si>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</si>
  <si>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</si>
  <si>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</si>
  <si>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</si>
  <si>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</si>
  <si>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</si>
  <si>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</si>
  <si>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</si>
  <si>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</si>
  <si>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</si>
  <si>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</si>
  <si>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</si>
  <si>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</si>
  <si>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</si>
  <si>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</si>
  <si>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</si>
  <si>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</si>
  <si>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</si>
  <si>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</si>
  <si>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</si>
  <si>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</si>
  <si>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</si>
  <si>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</si>
  <si>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</si>
  <si>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</si>
  <si>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</si>
  <si>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</si>
  <si>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</si>
  <si>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</si>
  <si>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</si>
  <si>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</si>
  <si>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</si>
  <si>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</si>
  <si>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</si>
  <si>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</si>
  <si>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</si>
  <si>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</si>
  <si>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</si>
  <si>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</si>
  <si>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</si>
  <si>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</si>
  <si>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</si>
  <si>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</si>
  <si>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</si>
  <si>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</si>
  <si>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</si>
  <si>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Tech - 999</t>
  </si>
  <si>
    <t>VIB - 000</t>
  </si>
  <si>
    <t>VIB - 004</t>
  </si>
  <si>
    <t>Phan Le Duy Khoi</t>
  </si>
  <si>
    <t>Viettel Money</t>
  </si>
  <si>
    <t>PhanLe Duy Khoi</t>
  </si>
  <si>
    <t>105878043349</t>
  </si>
  <si>
    <t>9704229201938102578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</si>
</sst>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C16" sqref="C16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 s="2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3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259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260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261</v>
      </c>
      <c r="C6" s="2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263</v>
      </c>
      <c r="C8" s="2" t="s">
        <v>266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17</v>
      </c>
      <c r="B11" t="s">
        <v>264</v>
      </c>
      <c r="C11" s="2" t="s">
        <v>265</v>
      </c>
      <c r="D11" t="s">
        <v>262</v>
      </c>
      <c r="E11" t="str">
        <f>IFERROR((VLOOKUP(A11,'API - io'!$A:$H,5,0)),"-")</f>
        <v>VietinBank</v>
      </c>
      <c r="F11" t="str">
        <f>IFERROR((VLOOKUP(A11,'API - io'!$A:$H,3,0)),"-")</f>
        <v>ICB</v>
      </c>
      <c r="G11">
        <f>IFERROR((VLOOKUP(A11,'API - io'!$A:$G,4,0)),"-")</f>
        <v>970415</v>
      </c>
      <c r="H11" t="str">
        <f>IFERROR((VLOOKUP(A11,'API - io'!$A:$G,5,0)),"-")</f>
        <v>VietinBank</v>
      </c>
      <c r="I11" t="str">
        <f>IFERROR((VLOOKUP(A11,'API - io'!$A:$G,6,0)),"-")</f>
        <v>https://cdn.vietqr.io/img/ICB.png</v>
      </c>
      <c r="J11" t="str">
        <f>IFERROR((VLOOKUP(A11,'API - io'!$A:$G,7,0)),"-")</f>
        <v>VietinBank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15" workbookViewId="0">
      <selection activeCell="B40" sqref="B40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2026-06-05T16:01:02Z</dcterms:modified>
</cp:coreProperties>
</file>