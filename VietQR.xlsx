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18EE9FA-F004-4C76-92B3-7DC50494CF0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B8" i="1"/>
  <c r="J7" i="1"/>
  <c r="I7" i="1"/>
  <c r="H7" i="1"/>
  <c r="G7" i="1"/>
  <c r="F7" i="1"/>
  <c r="E7" i="1"/>
  <c r="B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<sst xmlns="http://schemas.openxmlformats.org/spreadsheetml/2006/main" count="361" uniqueCount="261">
  <si>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</si>
  <si>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</si>
  <si>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</si>
  <si>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</si>
  <si>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</si>
  <si>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</si>
  <si>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</si>
  <si>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</si>
  <si>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</si>
  <si>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</si>
  <si>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</si>
  <si>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</si>
  <si>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</si>
  <si>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</si>
  <si>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</si>
  <si>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</si>
  <si>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</si>
  <si>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</si>
  <si>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</si>
  <si>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</si>
  <si>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</si>
  <si>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</si>
  <si>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</si>
  <si>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</si>
  <si>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</si>
  <si>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</si>
  <si>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</si>
  <si>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</si>
  <si>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</si>
  <si>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</si>
  <si>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</si>
  <si>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</si>
  <si>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</si>
  <si>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</si>
  <si>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</si>
  <si>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</si>
  <si>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</si>
  <si>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</si>
  <si>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</si>
  <si>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</si>
  <si>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</si>
  <si>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</si>
  <si>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</si>
  <si>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</si>
  <si>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</si>
  <si>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</si>
  <si>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</si>
  <si>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</si>
  <si>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</si>
  <si>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</si>
  <si>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</si>
  <si>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</si>
  <si>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</si>
  <si>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</si>
  <si>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</si>
  <si>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</si>
  <si>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</si>
  <si>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</si>
  <si>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</si>
  <si>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</si>
  <si>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</si>
  <si>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</si>
  <si>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</si>
  <si>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</si>
  <si>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</si>
  <si>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</si>
  <si>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</si>
  <si>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</si>
  <si>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</si>
  <si>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</si>
  <si>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</si>
  <si>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</si>
  <si>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</si>
  <si>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</si>
  <si>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</si>
  <si>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</si>
  <si>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</si>
  <si>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</si>
  <si>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</si>
  <si>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</si>
  <si>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</si>
  <si>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</si>
  <si>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</si>
  <si>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</si>
  <si>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</si>
  <si>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</si>
  <si>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</si>
  <si>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</si>
  <si>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</si>
  <si>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</si>
  <si>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</si>
  <si>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</si>
  <si>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</si>
  <si>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</si>
  <si>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</si>
  <si>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</si>
  <si>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</si>
  <si>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</si>
  <si>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</si>
  <si>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</si>
  <si>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</si>
  <si>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</si>
  <si>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</si>
  <si>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</si>
  <si>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</si>
  <si>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</si>
  <si>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</si>
  <si>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</si>
  <si>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</si>
  <si>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</si>
  <si>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</si>
  <si>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</si>
  <si>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</si>
  <si>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</si>
  <si>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</si>
  <si>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</si>
  <si>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</si>
  <si>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</si>
  <si>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</si>
  <si>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</si>
  <si>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</si>
  <si>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</si>
  <si>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</si>
  <si>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</si>
  <si>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</si>
  <si>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</si>
  <si>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</si>
  <si>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</si>
  <si>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</si>
  <si>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</si>
  <si>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</si>
  <si>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</si>
  <si>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</si>
  <si>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</si>
  <si>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</si>
  <si>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</si>
  <si>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</si>
  <si>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</si>
  <si>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</si>
  <si>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</si>
  <si>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</si>
  <si>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</si>
  <si>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</si>
  <si>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</si>
  <si>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</si>
  <si>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</si>
  <si>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</si>
  <si>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</si>
  <si>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</si>
  <si>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</si>
  <si>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</si>
  <si>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</si>
  <si>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</si>
  <si>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</si>
  <si>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</si>
  <si>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</si>
  <si>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</si>
  <si>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</si>
  <si>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</si>
  <si>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</si>
  <si>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</si>
  <si>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</si>
  <si>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</si>
  <si>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</si>
  <si>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</si>
  <si>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</si>
  <si>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</si>
  <si>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</si>
  <si>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</si>
  <si>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</si>
  <si>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</si>
  <si>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</si>
  <si>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</si>
  <si>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</si>
  <si>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</si>
  <si>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</si>
  <si>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</si>
  <si>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</si>
  <si>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</si>
  <si>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</si>
  <si>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</si>
  <si>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</si>
  <si>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</si>
  <si>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</si>
  <si>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</si>
  <si>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</si>
  <si>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</si>
  <si>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</si>
  <si>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</si>
  <si>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</si>
  <si>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</si>
  <si>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</si>
  <si>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</si>
  <si>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</si>
  <si>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</si>
  <si>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</si>
  <si>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</si>
  <si>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</si>
  <si>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</si>
  <si>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</si>
  <si>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</si>
  <si>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</si>
  <si>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</si>
  <si>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</si>
  <si>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</si>
  <si>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</si>
  <si>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</si>
  <si>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</si>
  <si>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</si>
  <si>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</si>
  <si>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</si>
  <si>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</si>
  <si>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</si>
  <si>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</si>
  <si>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</si>
  <si>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</si>
  <si>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</si>
  <si>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</si>
  <si>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</si>
  <si>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</si>
  <si>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</si>
  <si>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</si>
  <si>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</si>
  <si>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</si>
  <si>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</si>
  <si>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</si>
  <si>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</si>
  <si>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</si>
  <si>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</si>
  <si>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</si>
  <si>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</si>
  <si>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</si>
  <si>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</si>
  <si>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</si>
  <si>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</si>
  <si>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</si>
  <si>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</si>
  <si>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</si>
  <si>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</si>
  <si>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</si>
  <si>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</si>
  <si>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</si>
  <si>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</si>
  <si>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</si>
  <si>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</si>
  <si>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</si>
  <si>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</si>
  <si>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</si>
  <si>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</si>
  <si>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</si>
  <si>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</si>
  <si>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</si>
  <si>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</si>
  <si>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</si>
  <si>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</si>
  <si>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0582118210</t>
  </si>
  <si>
    <t>0396105538</t>
  </si>
  <si>
    <t>0396105653</t>
  </si>
  <si>
    <t>TCB_446</t>
  </si>
  <si>
    <t>MOMO _ 538</t>
  </si>
  <si>
    <t>MOMO _ 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</si>
</sst>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A7" sqref="A7"/>
    </sheetView>
  </sheetViews>
  <sheetFormatPr defaultRowHeight="15.6" x14ac:dyDescent="0.3"/>
  <cols>
    <col min="1" max="1" width="8.296875" bestFit="1" customWidth="1"/>
    <col min="2" max="2" width="9.09765625" bestFit="1" customWidth="1"/>
    <col min="3" max="3" width="11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26</v>
      </c>
      <c r="B4" t="s">
        <v>110</v>
      </c>
      <c r="C4" s="1" t="s">
        <v>255</v>
      </c>
      <c r="D4" t="s">
        <v>10</v>
      </c>
      <c r="E4" t="str">
        <f>IFERROR((VLOOKUP(#REF!,'API - io'!$A:$H,5,0)),"-")</f>
        <v>-</v>
      </c>
      <c r="F4" t="str">
        <f>IFERROR((VLOOKUP(#REF!,'API - io'!$A:$H,3,0)),"-")</f>
        <v>-</v>
      </c>
      <c r="G4">
        <f>IFERROR((VLOOKUP(A4,'API - io'!$A:$G,4,0)),"-")</f>
        <v>970448</v>
      </c>
      <c r="H4" t="str">
        <f>IFERROR((VLOOKUP(A4,'API - io'!$A:$G,5,0)),"-")</f>
        <v>OCB</v>
      </c>
      <c r="I4" t="str">
        <f>IFERROR((VLOOKUP(A4,'API - io'!$A:$G,6,0)),"-")</f>
        <v>https://cdn.vietqr.io/img/OCB.png</v>
      </c>
      <c r="J4" t="str">
        <f>IFERROR((VLOOKUP(A4,'API - io'!$A:$G,7,0)),"-")</f>
        <v>OCB</v>
      </c>
    </row>
    <row r="5" spans="1:10" x14ac:dyDescent="0.3">
      <c r="A5">
        <v>65</v>
      </c>
      <c r="B5" t="s">
        <v>259</v>
      </c>
      <c r="C5" s="1" t="s">
        <v>256</v>
      </c>
      <c r="D5" t="s">
        <v>10</v>
      </c>
      <c r="E5" t="str">
        <f>IFERROR((VLOOKUP(#REF!,'API - io'!$A:$H,5,0)),"-")</f>
        <v>-</v>
      </c>
      <c r="F5" t="str">
        <f>IFERROR((VLOOKUP(#REF!,'API - io'!$A:$H,3,0)),"-")</f>
        <v>-</v>
      </c>
      <c r="G5">
        <f>IFERROR((VLOOKUP(A5,'API - io'!$A:$G,4,0)),"-")</f>
        <v>971025</v>
      </c>
      <c r="H5" t="str">
        <f>IFERROR((VLOOKUP(A5,'API - io'!$A:$G,5,0)),"-")</f>
        <v>MoMo</v>
      </c>
      <c r="I5" t="str">
        <f>IFERROR((VLOOKUP(A5,'API - io'!$A:$G,6,0)),"-")</f>
        <v>https://cdn.vietqr.io/img/momo.png</v>
      </c>
      <c r="J5" t="str">
        <f>IFERROR((VLOOKUP(A5,'API - io'!$A:$G,7,0)),"-")</f>
        <v>MoMo</v>
      </c>
    </row>
    <row r="6" spans="1:10" x14ac:dyDescent="0.3">
      <c r="A6">
        <v>65</v>
      </c>
      <c r="B6" t="s">
        <v>260</v>
      </c>
      <c r="C6" s="1" t="s">
        <v>257</v>
      </c>
      <c r="D6" t="s">
        <v>10</v>
      </c>
      <c r="E6" t="str">
        <f>IFERROR((VLOOKUP(#REF!,'API - io'!$A:$H,5,0)),"-")</f>
        <v>-</v>
      </c>
      <c r="F6" t="str">
        <f>IFERROR((VLOOKUP(#REF!,'API - io'!$A:$H,3,0)),"-")</f>
        <v>-</v>
      </c>
      <c r="G6">
        <f>IFERROR((VLOOKUP(A6,'API - io'!$A:$G,4,0)),"-")</f>
        <v>971025</v>
      </c>
      <c r="H6" t="str">
        <f>IFERROR((VLOOKUP(A6,'API - io'!$A:$G,5,0)),"-")</f>
        <v>MoMo</v>
      </c>
      <c r="I6" t="str">
        <f>IFERROR((VLOOKUP(A6,'API - io'!$A:$G,6,0)),"-")</f>
        <v>https://cdn.vietqr.io/img/momo.png</v>
      </c>
      <c r="J6" t="str">
        <f>IFERROR((VLOOKUP(A6,'API - io'!$A:$G,7,0)),"-")</f>
        <v>MoMo</v>
      </c>
    </row>
    <row r="7" spans="1:10" x14ac:dyDescent="0.3">
      <c r="B7" t="str">
        <f>IFERROR((VLOOKUP(#REF!,'API - io'!$A:$H,3,0)),"-")</f>
        <v>-</v>
      </c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B8" t="str">
        <f>IFERROR((VLOOKUP(#REF!,'API - io'!$A:$H,3,0)),"-")</f>
        <v>-</v>
      </c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1 A7:J101 E4:J4 E5:J5 E6:J6 A3 A2 C2:J2 C3:J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2026-06-03T17:26:37Z</dcterms:modified>
</cp:coreProperties>
</file>