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3B82EC7D-4B6B-4E98-B9AA-C1EFD92B197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<sst xmlns="http://schemas.openxmlformats.org/spreadsheetml/2006/main" count="367" uniqueCount="266">
  <si>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</si>
  <si>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</si>
  <si>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</si>
  <si>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</si>
  <si>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</si>
  <si>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</si>
  <si>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</si>
  <si>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</si>
  <si>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</si>
  <si>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</si>
  <si>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</si>
  <si>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</si>
  <si>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</si>
  <si>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</si>
  <si>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</si>
  <si>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</si>
  <si>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</si>
  <si>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</si>
  <si>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</si>
  <si>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</si>
  <si>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</si>
  <si>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</si>
  <si>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</si>
  <si>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</si>
  <si>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</si>
  <si>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</si>
  <si>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</si>
  <si>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</si>
  <si>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</si>
  <si>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</si>
  <si>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</si>
  <si>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</si>
  <si>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</si>
  <si>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</si>
  <si>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</si>
  <si>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</si>
  <si>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</si>
  <si>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</si>
  <si>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</si>
  <si>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</si>
  <si>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</si>
  <si>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</si>
  <si>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</si>
  <si>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</si>
  <si>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</si>
  <si>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</si>
  <si>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</si>
  <si>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</si>
  <si>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</si>
  <si>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</si>
  <si>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</si>
  <si>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</si>
  <si>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</si>
  <si>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</si>
  <si>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</si>
  <si>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</si>
  <si>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</si>
  <si>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</si>
  <si>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</si>
  <si>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</si>
  <si>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</si>
  <si>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</si>
  <si>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</si>
  <si>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</si>
  <si>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</si>
  <si>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</si>
  <si>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</si>
  <si>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</si>
  <si>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</si>
  <si>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</si>
  <si>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</si>
  <si>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</si>
  <si>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</si>
  <si>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</si>
  <si>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</si>
  <si>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</si>
  <si>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</si>
  <si>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</si>
  <si>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</si>
  <si>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</si>
  <si>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</si>
  <si>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</si>
  <si>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</si>
  <si>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</si>
  <si>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</si>
  <si>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</si>
  <si>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</si>
  <si>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</si>
  <si>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</si>
  <si>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</si>
  <si>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</si>
  <si>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</si>
  <si>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</si>
  <si>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</si>
  <si>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</si>
  <si>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</si>
  <si>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</si>
  <si>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</si>
  <si>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</si>
  <si>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</si>
  <si>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</si>
  <si>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</si>
  <si>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</si>
  <si>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</si>
  <si>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</si>
  <si>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</si>
  <si>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</si>
  <si>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</si>
  <si>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</si>
  <si>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</si>
  <si>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</si>
  <si>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</si>
  <si>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</si>
  <si>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</si>
  <si>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</si>
  <si>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</si>
  <si>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</si>
  <si>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</si>
  <si>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</si>
  <si>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</si>
  <si>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</si>
  <si>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</si>
  <si>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</si>
  <si>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</si>
  <si>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</si>
  <si>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</si>
  <si>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</si>
  <si>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</si>
  <si>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</si>
  <si>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</si>
  <si>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</si>
  <si>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</si>
  <si>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</si>
  <si>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</si>
  <si>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</si>
  <si>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</si>
  <si>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</si>
  <si>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</si>
  <si>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</si>
  <si>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</si>
  <si>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</si>
  <si>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</si>
  <si>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</si>
  <si>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</si>
  <si>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</si>
  <si>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</si>
  <si>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</si>
  <si>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</si>
  <si>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</si>
  <si>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</si>
  <si>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</si>
  <si>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</si>
  <si>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</si>
  <si>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</si>
  <si>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</si>
  <si>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</si>
  <si>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</si>
  <si>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</si>
  <si>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</si>
  <si>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</si>
  <si>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</si>
  <si>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</si>
  <si>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</si>
  <si>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</si>
  <si>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</si>
  <si>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</si>
  <si>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</si>
  <si>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</si>
  <si>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</si>
  <si>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</si>
  <si>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</si>
  <si>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</si>
  <si>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</si>
  <si>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</si>
  <si>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</si>
  <si>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</si>
  <si>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</si>
  <si>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</si>
  <si>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</si>
  <si>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</si>
  <si>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</si>
  <si>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</si>
  <si>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</si>
  <si>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</si>
  <si>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</si>
  <si>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</si>
  <si>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</si>
  <si>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</si>
  <si>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</si>
  <si>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</si>
  <si>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</si>
  <si>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</si>
  <si>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</si>
  <si>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</si>
  <si>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</si>
  <si>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</si>
  <si>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</si>
  <si>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</si>
  <si>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</si>
  <si>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</si>
  <si>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</si>
  <si>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</si>
  <si>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</si>
  <si>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</si>
  <si>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</si>
  <si>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</si>
  <si>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</si>
  <si>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</si>
  <si>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</si>
  <si>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</si>
  <si>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</si>
  <si>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</si>
  <si>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</si>
  <si>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</si>
  <si>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</si>
  <si>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</si>
  <si>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</si>
  <si>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</si>
  <si>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</si>
  <si>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</si>
  <si>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</si>
  <si>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</si>
  <si>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</si>
  <si>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</si>
  <si>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</si>
  <si>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</si>
  <si>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</si>
  <si>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</si>
  <si>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</si>
  <si>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</si>
  <si>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</si>
  <si>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</si>
  <si>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</si>
  <si>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</si>
  <si>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</si>
  <si>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</si>
  <si>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</si>
  <si>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</si>
  <si>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</si>
  <si>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</si>
  <si>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</si>
  <si>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</si>
  <si>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</si>
  <si>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</si>
  <si>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</si>
  <si>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</si>
  <si>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</si>
  <si>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</si>
  <si>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</si>
  <si>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</si>
  <si>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</si>
  <si>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</si>
  <si>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</si>
  <si>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</si>
  <si>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</si>
  <si>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</si>
  <si>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</si>
  <si>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</si>
  <si>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</si>
  <si>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VIB - 000</t>
  </si>
  <si>
    <t>VIB - 004</t>
  </si>
  <si>
    <t>Phan Le Duy Khoi</t>
  </si>
  <si>
    <t>Viettel Money</t>
  </si>
  <si>
    <t>PhanLe Duy Khoi</t>
  </si>
  <si>
    <t>105878043349</t>
  </si>
  <si>
    <t>9704229201938102578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</si>
</sst>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B14" sqref="B14:D14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43</v>
      </c>
      <c r="B2" t="s">
        <v>174</v>
      </c>
      <c r="C2" s="3">
        <v>1031451081</v>
      </c>
      <c r="D2" t="s">
        <v>10</v>
      </c>
      <c r="E2" t="str">
        <f>IFERROR((VLOOKUP(A2,'API - io'!$A:$H,5,0)),"-")</f>
        <v>Vietcombank</v>
      </c>
      <c r="F2" t="str">
        <f>IFERROR((VLOOKUP(A2,'API - io'!$A:$H,3,0)),"-")</f>
        <v>VCB</v>
      </c>
      <c r="G2">
        <f>IFERROR((VLOOKUP(A2,'API - io'!$A:$G,4,0)),"-")</f>
        <v>970436</v>
      </c>
      <c r="H2" t="str">
        <f>IFERROR((VLOOKUP(A2,'API - io'!$A:$G,5,0)),"-")</f>
        <v>Vietcombank</v>
      </c>
      <c r="I2" t="str">
        <f>IFERROR((VLOOKUP(A2,'API - io'!$A:$G,6,0)),"-")</f>
        <v>https://cdn.vietqr.io/img/VCB.png</v>
      </c>
      <c r="J2" t="str">
        <f>IFERROR((VLOOKUP(A2,'API - io'!$A:$G,7,0)),"-")</f>
        <v>Vietcombank</v>
      </c>
    </row>
    <row r="3" spans="1:10" x14ac:dyDescent="0.3">
      <c r="A3">
        <v>38</v>
      </c>
      <c r="B3" t="s">
        <v>258</v>
      </c>
      <c r="C3" s="2" t="s">
        <v>254</v>
      </c>
      <c r="D3" t="s">
        <v>10</v>
      </c>
      <c r="E3" t="str">
        <f>IFERROR((VLOOKUP(A3,'API - io'!$A:$H,5,0)),"-")</f>
        <v>Techcombank</v>
      </c>
      <c r="F3" t="str">
        <f>IFERROR((VLOOKUP(A3,'API - io'!$A:$H,3,0)),"-")</f>
        <v>TCB</v>
      </c>
      <c r="G3">
        <f>IFERROR((VLOOKUP(A3,'API - io'!$A:$G,4,0)),"-")</f>
        <v>970407</v>
      </c>
      <c r="H3" t="str">
        <f>IFERROR((VLOOKUP(A3,'API - io'!$A:$G,5,0)),"-")</f>
        <v>Techcombank</v>
      </c>
      <c r="I3" t="str">
        <f>IFERROR((VLOOKUP(A3,'API - io'!$A:$G,6,0)),"-")</f>
        <v>https://cdn.vietqr.io/img/TCB.png</v>
      </c>
      <c r="J3" t="str">
        <f>IFERROR((VLOOKUP(A3,'API - io'!$A:$G,7,0)),"-")</f>
        <v>Techcombank</v>
      </c>
    </row>
    <row r="4" spans="1:10" x14ac:dyDescent="0.3">
      <c r="A4">
        <v>38</v>
      </c>
      <c r="B4" t="s">
        <v>154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259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260</v>
      </c>
      <c r="C6" s="2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262</v>
      </c>
      <c r="C8" s="2" t="s">
        <v>265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17</v>
      </c>
      <c r="B11" t="s">
        <v>263</v>
      </c>
      <c r="C11" s="2" t="s">
        <v>264</v>
      </c>
      <c r="D11" t="s">
        <v>261</v>
      </c>
      <c r="E11" t="str">
        <f>IFERROR((VLOOKUP(A11,'API - io'!$A:$H,5,0)),"-")</f>
        <v>VietinBank</v>
      </c>
      <c r="F11" t="str">
        <f>IFERROR((VLOOKUP(A11,'API - io'!$A:$H,3,0)),"-")</f>
        <v>ICB</v>
      </c>
      <c r="G11">
        <f>IFERROR((VLOOKUP(A11,'API - io'!$A:$G,4,0)),"-")</f>
        <v>970415</v>
      </c>
      <c r="H11" t="str">
        <f>IFERROR((VLOOKUP(A11,'API - io'!$A:$G,5,0)),"-")</f>
        <v>VietinBank</v>
      </c>
      <c r="I11" t="str">
        <f>IFERROR((VLOOKUP(A11,'API - io'!$A:$G,6,0)),"-")</f>
        <v>https://cdn.vietqr.io/img/ICB.png</v>
      </c>
      <c r="J11" t="str">
        <f>IFERROR((VLOOKUP(A11,'API - io'!$A:$G,7,0)),"-")</f>
        <v>VietinBank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2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C16" workbookViewId="0">
      <selection activeCell="E28" sqref="E28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2026-06-09T15:16:36Z</dcterms:modified>
</cp:coreProperties>
</file>