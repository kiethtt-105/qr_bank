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C6DA8D9C-05C3-486B-BBF0-219DCAE263B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I4" i="1"/>
  <c r="H4" i="1"/>
  <c r="G4" i="1"/>
  <c r="F4" i="1"/>
  <c r="E4" i="1"/>
  <c r="J3" i="1"/>
  <c r="I3" i="1"/>
  <c r="H3" i="1"/>
  <c r="G3" i="1"/>
  <c r="F3" i="1"/>
  <c r="E3" i="1"/>
  <c r="F2" i="1"/>
  <c r="E2" i="1"/>
  <c r="J100" i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2" i="1"/>
  <c r="I2" i="1"/>
  <c r="H2" i="1"/>
  <c r="G2" i="1"/>
</calcChain>
</file>

<file path=xl/sharedStrings.xml><?xml version="1.0" encoding="utf-8"?>
<sst xmlns="http://schemas.openxmlformats.org/spreadsheetml/2006/main" count="356" uniqueCount="260">
  <si>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</si>
  <si>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</si>
  <si>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</si>
  <si>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</si>
  <si>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</si>
  <si>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</si>
  <si>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</si>
  <si>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</si>
  <si>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</si>
  <si>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</si>
  <si>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</si>
  <si>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Templa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</si>
  <si>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</si>
  <si>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</si>
  <si>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</si>
  <si>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</si>
  <si>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</si>
  <si>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</si>
  <si>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</si>
  <si>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</si>
  <si>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</si>
  <si>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</si>
  <si>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</si>
  <si>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</si>
  <si>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</si>
  <si>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</si>
  <si>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</si>
  <si>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</si>
  <si>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</si>
  <si>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</si>
  <si>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</si>
  <si>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</si>
  <si>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</si>
  <si>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</si>
  <si>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</si>
  <si>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</si>
  <si>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</si>
  <si>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</si>
  <si>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</si>
  <si>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</si>
  <si>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</si>
  <si>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</si>
  <si>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</si>
  <si>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</si>
  <si>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</si>
  <si>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</si>
  <si>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</si>
  <si>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</si>
  <si>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</si>
  <si>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</si>
  <si>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</si>
  <si>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</si>
  <si>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</si>
  <si>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</si>
  <si>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</si>
  <si>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</si>
  <si>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</si>
  <si>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</si>
  <si>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</si>
  <si>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</si>
  <si>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</si>
  <si>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</si>
  <si>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</si>
  <si>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</si>
  <si>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</si>
  <si>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</si>
  <si>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</si>
  <si>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</si>
  <si>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</si>
  <si>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</si>
  <si>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</si>
  <si>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</si>
  <si>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</si>
  <si>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</si>
  <si>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</si>
  <si>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</si>
  <si>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</si>
  <si>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</si>
  <si>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</si>
  <si>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</si>
  <si>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</si>
  <si>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</si>
  <si>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</si>
  <si>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</si>
  <si>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</si>
  <si>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</si>
  <si>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</si>
  <si>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</si>
  <si>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</si>
  <si>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</si>
  <si>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</si>
  <si>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</si>
  <si>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</si>
  <si>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</si>
  <si>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</si>
  <si>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</si>
  <si>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</si>
  <si>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</si>
  <si>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</si>
  <si>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</si>
  <si>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</si>
  <si>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</si>
  <si>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</si>
  <si>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</si>
  <si>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</si>
  <si>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</si>
  <si>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</si>
  <si>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</si>
  <si>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</si>
  <si>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</si>
  <si>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</si>
  <si>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</si>
  <si>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</si>
  <si>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</si>
  <si>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</si>
  <si>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</si>
  <si>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</si>
  <si>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</si>
  <si>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</si>
  <si>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</si>
  <si>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</si>
  <si>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</si>
  <si>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</si>
  <si>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</si>
  <si>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</si>
  <si>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</si>
  <si>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</si>
  <si>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</si>
  <si>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</si>
  <si>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</si>
  <si>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</si>
  <si>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</si>
  <si>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</si>
  <si>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</si>
  <si>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</si>
  <si>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</si>
  <si>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</si>
  <si>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</si>
  <si>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</si>
  <si>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</si>
  <si>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</si>
  <si>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</si>
  <si>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</si>
  <si>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</si>
  <si>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</si>
  <si>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</si>
  <si>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</si>
  <si>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</si>
  <si>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</si>
  <si>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</si>
  <si>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</si>
  <si>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</si>
  <si>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</si>
  <si>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</si>
  <si>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</si>
  <si>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</si>
  <si>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</si>
  <si>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</si>
  <si>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</si>
  <si>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</si>
  <si>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</si>
  <si>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</si>
  <si>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</si>
  <si>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</si>
  <si>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</si>
  <si>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</si>
  <si>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</si>
  <si>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</si>
  <si>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</si>
  <si>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</si>
  <si>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</si>
  <si>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</si>
  <si>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</si>
  <si>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</si>
  <si>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</si>
  <si>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</si>
  <si>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</si>
  <si>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</si>
  <si>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</si>
  <si>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</si>
  <si>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</si>
  <si>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</si>
  <si>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</si>
  <si>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</si>
  <si>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</si>
  <si>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</si>
  <si>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</si>
  <si>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</si>
  <si>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</si>
  <si>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</si>
  <si>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</si>
  <si>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</si>
  <si>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</si>
  <si>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</si>
  <si>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</si>
  <si>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</si>
  <si>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</si>
  <si>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</si>
  <si>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</si>
  <si>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</si>
  <si>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</si>
  <si>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</si>
  <si>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</si>
  <si>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</si>
  <si>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</si>
  <si>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</si>
  <si>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</si>
  <si>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</si>
  <si>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</si>
  <si>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</si>
  <si>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</si>
  <si>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</si>
  <si>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</si>
  <si>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</si>
  <si>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</si>
  <si>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</si>
  <si>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</si>
  <si>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</si>
  <si>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</si>
  <si>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</si>
  <si>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</si>
  <si>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</si>
  <si>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</si>
  <si>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</si>
  <si>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</si>
  <si>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</si>
  <si>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</si>
  <si>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</si>
  <si>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</si>
  <si>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</si>
  <si>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</si>
  <si>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</si>
  <si>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</si>
  <si>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</si>
  <si>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</si>
  <si>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</si>
  <si>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</si>
  <si>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</si>
  <si>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</si>
  <si>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</si>
  <si>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</si>
  <si>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</si>
  <si>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</si>
  <si>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</si>
  <si>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</si>
  <si>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</si>
  <si>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</si>
  <si>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</si>
  <si>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</si>
  <si>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</si>
  <si>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</si>
  <si>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</si>
  <si>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</si>
  <si>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</si>
  <si>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</si>
  <si>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TCB_446</t>
  </si>
  <si>
    <t>TCB -iPanDa</t>
  </si>
  <si>
    <t>MS00T09548691713297</t>
  </si>
  <si>
    <t>VIB _ 064</t>
  </si>
  <si>
    <t>064933000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</si>
</sst>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J2" sqref="J2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256</v>
      </c>
      <c r="C2" s="1" t="s">
        <v>257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38</v>
      </c>
      <c r="B3" t="s">
        <v>255</v>
      </c>
      <c r="C3">
        <v>44699999999</v>
      </c>
      <c r="D3" t="s">
        <v>10</v>
      </c>
      <c r="E3" t="str">
        <f>IFERROR((VLOOKUP(A3,'API - io'!$A:$H,5,0)),"-")</f>
        <v>Techcombank</v>
      </c>
      <c r="F3" t="str">
        <f>IFERROR((VLOOKUP(A3,'API - io'!$A:$H,3,0)),"-")</f>
        <v>TCB</v>
      </c>
      <c r="G3">
        <f>IFERROR((VLOOKUP(A3,'API - io'!$A:$G,4,0)),"-")</f>
        <v>970407</v>
      </c>
      <c r="H3" t="str">
        <f>IFERROR((VLOOKUP(A3,'API - io'!$A:$G,5,0)),"-")</f>
        <v>Techcombank</v>
      </c>
      <c r="I3" t="str">
        <f>IFERROR((VLOOKUP(A3,'API - io'!$A:$G,6,0)),"-")</f>
        <v>https://cdn.vietqr.io/img/TCB.png</v>
      </c>
      <c r="J3" t="str">
        <f>IFERROR((VLOOKUP(A3,'API - io'!$A:$G,7,0)),"-")</f>
        <v>Techcombank</v>
      </c>
    </row>
    <row r="4" spans="1:10" x14ac:dyDescent="0.3">
      <c r="A4">
        <v>45</v>
      </c>
      <c r="B4" t="s">
        <v>258</v>
      </c>
      <c r="C4" s="1" t="s">
        <v>259</v>
      </c>
      <c r="D4" t="s">
        <v>10</v>
      </c>
      <c r="E4" t="str">
        <f>IFERROR((VLOOKUP(A4,'API - io'!$A:$H,5,0)),"-")</f>
        <v>VIB</v>
      </c>
      <c r="F4" t="str">
        <f>IFERROR((VLOOKUP(A4,'API - io'!$A:$H,3,0)),"-")</f>
        <v>VIB</v>
      </c>
      <c r="G4">
        <f>IFERROR((VLOOKUP(A4,'API - io'!$A:$G,4,0)),"-")</f>
        <v>970441</v>
      </c>
      <c r="H4" t="str">
        <f>IFERROR((VLOOKUP(A4,'API - io'!$A:$G,5,0)),"-")</f>
        <v>VIB</v>
      </c>
      <c r="I4" t="str">
        <f>IFERROR((VLOOKUP(A4,'API - io'!$A:$G,6,0)),"-")</f>
        <v>https://cdn.vietqr.io/img/VIB.png</v>
      </c>
      <c r="J4" t="str">
        <f>IFERROR((VLOOKUP(A4,'API - io'!$A:$G,7,0)),"-")</f>
        <v>VIB</v>
      </c>
    </row>
    <row r="5" spans="1:10" x14ac:dyDescent="0.3">
      <c r="C5" s="1"/>
      <c r="E5" t="str">
        <f>IFERROR((VLOOKUP(#REF!,'API - io'!$A:$H,5,0)),"-")</f>
        <v>-</v>
      </c>
      <c r="F5" t="str">
        <f>IFERROR((VLOOKUP(#REF!,'API - io'!$A:$H,3,0)),"-")</f>
        <v>-</v>
      </c>
      <c r="G5" t="str">
        <f>IFERROR((VLOOKUP(A5,'API - io'!$A:$G,4,0)),"-")</f>
        <v>-</v>
      </c>
      <c r="H5" t="str">
        <f>IFERROR((VLOOKUP(A5,'API - io'!$A:$G,5,0)),"-")</f>
        <v>-</v>
      </c>
      <c r="I5" t="str">
        <f>IFERROR((VLOOKUP(A5,'API - io'!$A:$G,6,0)),"-")</f>
        <v>-</v>
      </c>
      <c r="J5" t="str">
        <f>IFERROR((VLOOKUP(A5,'API - io'!$A:$G,7,0)),"-")</f>
        <v>-</v>
      </c>
    </row>
    <row r="6" spans="1:10" x14ac:dyDescent="0.3">
      <c r="C6" s="1"/>
      <c r="E6" t="str">
        <f>IFERROR((VLOOKUP(#REF!,'API - io'!$A:$H,5,0)),"-")</f>
        <v>-</v>
      </c>
      <c r="F6" t="str">
        <f>IFERROR((VLOOKUP(#REF!,'API - io'!$A:$H,3,0)),"-")</f>
        <v>-</v>
      </c>
      <c r="G6" t="str">
        <f>IFERROR((VLOOKUP(A6,'API - io'!$A:$G,4,0)),"-")</f>
        <v>-</v>
      </c>
      <c r="H6" t="str">
        <f>IFERROR((VLOOKUP(A6,'API - io'!$A:$G,5,0)),"-")</f>
        <v>-</v>
      </c>
      <c r="I6" t="str">
        <f>IFERROR((VLOOKUP(A6,'API - io'!$A:$G,6,0)),"-")</f>
        <v>-</v>
      </c>
      <c r="J6" t="str">
        <f>IFERROR((VLOOKUP(A6,'API - io'!$A:$G,7,0)),"-")</f>
        <v>-</v>
      </c>
    </row>
    <row r="7" spans="1:10" x14ac:dyDescent="0.3">
      <c r="C7" s="1"/>
      <c r="E7" t="str">
        <f>IFERROR((VLOOKUP(#REF!,'API - io'!$A:$H,5,0)),"-")</f>
        <v>-</v>
      </c>
      <c r="F7" t="str">
        <f>IFERROR((VLOOKUP(#REF!,'API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C8" s="1"/>
      <c r="E8" t="str">
        <f>IFERROR((VLOOKUP(#REF!,'API - io'!$A:$H,5,0)),"-")</f>
        <v>-</v>
      </c>
      <c r="F8" t="str">
        <f>IFERROR((VLOOKUP(#REF!,'API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C9" s="1"/>
      <c r="E9" t="str">
        <f>IFERROR((VLOOKUP(#REF!,'API - io'!$A:$H,5,0)),"-")</f>
        <v>-</v>
      </c>
      <c r="F9" t="str">
        <f>IFERROR((VLOOKUP(#REF!,'API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C10" s="1"/>
      <c r="E10" t="str">
        <f>IFERROR((VLOOKUP(#REF!,'API - io'!$A:$H,5,0)),"-")</f>
        <v>-</v>
      </c>
      <c r="F10" t="str">
        <f>IFERROR((VLOOKUP(#REF!,'API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C11" s="1"/>
      <c r="E11" t="str">
        <f>IFERROR((VLOOKUP(#REF!,'API - io'!$A:$H,5,0)),"-")</f>
        <v>-</v>
      </c>
      <c r="F11" t="str">
        <f>IFERROR((VLOOKUP(#REF!,'API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C12" s="1"/>
      <c r="E12" t="str">
        <f>IFERROR((VLOOKUP(#REF!,'API - io'!$A:$H,5,0)),"-")</f>
        <v>-</v>
      </c>
      <c r="F12" t="str">
        <f>IFERROR((VLOOKUP(#REF!,'API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IFERROR((VLOOKUP(#REF!,'API - io'!$A:$H,5,0)),"-")</f>
        <v>-</v>
      </c>
      <c r="F13" t="str">
        <f>IFERROR((VLOOKUP(#REF!,'API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IFERROR((VLOOKUP(#REF!,'API - io'!$A:$H,5,0)),"-")</f>
        <v>-</v>
      </c>
      <c r="F14" t="str">
        <f>IFERROR((VLOOKUP(#REF!,'API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IFERROR((VLOOKUP(#REF!,'API - io'!$A:$H,5,0)),"-")</f>
        <v>-</v>
      </c>
      <c r="F15" t="str">
        <f>IFERROR((VLOOKUP(#REF!,'API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IFERROR((VLOOKUP(#REF!,'API - io'!$A:$H,5,0)),"-")</f>
        <v>-</v>
      </c>
      <c r="F16" t="str">
        <f>IFERROR((VLOOKUP(#REF!,'API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IFERROR((VLOOKUP(#REF!,'API - io'!$A:$H,5,0)),"-")</f>
        <v>-</v>
      </c>
      <c r="F17" t="str">
        <f>IFERROR((VLOOKUP(#REF!,'API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IFERROR((VLOOKUP(#REF!,'API - io'!$A:$H,5,0)),"-")</f>
        <v>-</v>
      </c>
      <c r="F18" t="str">
        <f>IFERROR((VLOOKUP(#REF!,'API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IFERROR((VLOOKUP(#REF!,'API - io'!$A:$H,5,0)),"-")</f>
        <v>-</v>
      </c>
      <c r="F19" t="str">
        <f>IFERROR((VLOOKUP(#REF!,'API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IFERROR((VLOOKUP(#REF!,'API - io'!$A:$H,5,0)),"-")</f>
        <v>-</v>
      </c>
      <c r="F20" t="str">
        <f>IFERROR((VLOOKUP(#REF!,'API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IFERROR((VLOOKUP(#REF!,'API - io'!$A:$H,5,0)),"-")</f>
        <v>-</v>
      </c>
      <c r="F21" t="str">
        <f>IFERROR((VLOOKUP(#REF!,'API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IFERROR((VLOOKUP(#REF!,'API - io'!$A:$H,5,0)),"-")</f>
        <v>-</v>
      </c>
      <c r="F22" t="str">
        <f>IFERROR((VLOOKUP(#REF!,'API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IFERROR((VLOOKUP(#REF!,'API - io'!$A:$H,5,0)),"-")</f>
        <v>-</v>
      </c>
      <c r="F23" t="str">
        <f>IFERROR((VLOOKUP(#REF!,'API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IFERROR((VLOOKUP(#REF!,'API - io'!$A:$H,5,0)),"-")</f>
        <v>-</v>
      </c>
      <c r="F24" t="str">
        <f>IFERROR((VLOOKUP(#REF!,'API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IFERROR((VLOOKUP(#REF!,'API - io'!$A:$H,5,0)),"-")</f>
        <v>-</v>
      </c>
      <c r="F25" t="str">
        <f>IFERROR((VLOOKUP(#REF!,'API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IFERROR((VLOOKUP(#REF!,'API - io'!$A:$H,5,0)),"-")</f>
        <v>-</v>
      </c>
      <c r="F26" t="str">
        <f>IFERROR((VLOOKUP(#REF!,'API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IFERROR((VLOOKUP(#REF!,'API - io'!$A:$H,5,0)),"-")</f>
        <v>-</v>
      </c>
      <c r="F27" t="str">
        <f>IFERROR((VLOOKUP(#REF!,'API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IFERROR((VLOOKUP(#REF!,'API - io'!$A:$H,5,0)),"-")</f>
        <v>-</v>
      </c>
      <c r="F28" t="str">
        <f>IFERROR((VLOOKUP(#REF!,'API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IFERROR((VLOOKUP(#REF!,'API - io'!$A:$H,5,0)),"-")</f>
        <v>-</v>
      </c>
      <c r="F29" t="str">
        <f>IFERROR((VLOOKUP(#REF!,'API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IFERROR((VLOOKUP(#REF!,'API - io'!$A:$H,5,0)),"-")</f>
        <v>-</v>
      </c>
      <c r="F30" t="str">
        <f>IFERROR((VLOOKUP(#REF!,'API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IFERROR((VLOOKUP(#REF!,'API - io'!$A:$H,5,0)),"-")</f>
        <v>-</v>
      </c>
      <c r="F31" t="str">
        <f>IFERROR((VLOOKUP(#REF!,'API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IFERROR((VLOOKUP(#REF!,'API - io'!$A:$H,5,0)),"-")</f>
        <v>-</v>
      </c>
      <c r="F32" t="str">
        <f>IFERROR((VLOOKUP(#REF!,'API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IFERROR((VLOOKUP(#REF!,'API - io'!$A:$H,5,0)),"-")</f>
        <v>-</v>
      </c>
      <c r="F33" t="str">
        <f>IFERROR((VLOOKUP(#REF!,'API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IFERROR((VLOOKUP(#REF!,'API - io'!$A:$H,5,0)),"-")</f>
        <v>-</v>
      </c>
      <c r="F34" t="str">
        <f>IFERROR((VLOOKUP(#REF!,'API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IFERROR((VLOOKUP(#REF!,'API - io'!$A:$H,5,0)),"-")</f>
        <v>-</v>
      </c>
      <c r="F35" t="str">
        <f>IFERROR((VLOOKUP(#REF!,'API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IFERROR((VLOOKUP(#REF!,'API - io'!$A:$H,5,0)),"-")</f>
        <v>-</v>
      </c>
      <c r="F36" t="str">
        <f>IFERROR((VLOOKUP(#REF!,'API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IFERROR((VLOOKUP(#REF!,'API - io'!$A:$H,5,0)),"-")</f>
        <v>-</v>
      </c>
      <c r="F37" t="str">
        <f>IFERROR((VLOOKUP(#REF!,'API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IFERROR((VLOOKUP(#REF!,'API - io'!$A:$H,5,0)),"-")</f>
        <v>-</v>
      </c>
      <c r="F38" t="str">
        <f>IFERROR((VLOOKUP(#REF!,'API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IFERROR((VLOOKUP(#REF!,'API - io'!$A:$H,5,0)),"-")</f>
        <v>-</v>
      </c>
      <c r="F39" t="str">
        <f>IFERROR((VLOOKUP(#REF!,'API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IFERROR((VLOOKUP(#REF!,'API - io'!$A:$H,5,0)),"-")</f>
        <v>-</v>
      </c>
      <c r="F40" t="str">
        <f>IFERROR((VLOOKUP(#REF!,'API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IFERROR((VLOOKUP(#REF!,'API - io'!$A:$H,5,0)),"-")</f>
        <v>-</v>
      </c>
      <c r="F41" t="str">
        <f>IFERROR((VLOOKUP(#REF!,'API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IFERROR((VLOOKUP(#REF!,'API - io'!$A:$H,5,0)),"-")</f>
        <v>-</v>
      </c>
      <c r="F42" t="str">
        <f>IFERROR((VLOOKUP(#REF!,'API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IFERROR((VLOOKUP(#REF!,'API - io'!$A:$H,5,0)),"-")</f>
        <v>-</v>
      </c>
      <c r="F43" t="str">
        <f>IFERROR((VLOOKUP(#REF!,'API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IFERROR((VLOOKUP(#REF!,'API - io'!$A:$H,5,0)),"-")</f>
        <v>-</v>
      </c>
      <c r="F44" t="str">
        <f>IFERROR((VLOOKUP(#REF!,'API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IFERROR((VLOOKUP(#REF!,'API - io'!$A:$H,5,0)),"-")</f>
        <v>-</v>
      </c>
      <c r="F45" t="str">
        <f>IFERROR((VLOOKUP(#REF!,'API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IFERROR((VLOOKUP(#REF!,'API - io'!$A:$H,5,0)),"-")</f>
        <v>-</v>
      </c>
      <c r="F46" t="str">
        <f>IFERROR((VLOOKUP(#REF!,'API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IFERROR((VLOOKUP(#REF!,'API - io'!$A:$H,5,0)),"-")</f>
        <v>-</v>
      </c>
      <c r="F47" t="str">
        <f>IFERROR((VLOOKUP(#REF!,'API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IFERROR((VLOOKUP(#REF!,'API - io'!$A:$H,5,0)),"-")</f>
        <v>-</v>
      </c>
      <c r="F48" t="str">
        <f>IFERROR((VLOOKUP(#REF!,'API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IFERROR((VLOOKUP(#REF!,'API - io'!$A:$H,5,0)),"-")</f>
        <v>-</v>
      </c>
      <c r="F49" t="str">
        <f>IFERROR((VLOOKUP(#REF!,'API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IFERROR((VLOOKUP(#REF!,'API - io'!$A:$H,5,0)),"-")</f>
        <v>-</v>
      </c>
      <c r="F50" t="str">
        <f>IFERROR((VLOOKUP(#REF!,'API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IFERROR((VLOOKUP(#REF!,'API - io'!$A:$H,5,0)),"-")</f>
        <v>-</v>
      </c>
      <c r="F51" t="str">
        <f>IFERROR((VLOOKUP(#REF!,'API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IFERROR((VLOOKUP(#REF!,'API - io'!$A:$H,5,0)),"-")</f>
        <v>-</v>
      </c>
      <c r="F52" t="str">
        <f>IFERROR((VLOOKUP(#REF!,'API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IFERROR((VLOOKUP(#REF!,'API - io'!$A:$H,5,0)),"-")</f>
        <v>-</v>
      </c>
      <c r="F53" t="str">
        <f>IFERROR((VLOOKUP(#REF!,'API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IFERROR((VLOOKUP(#REF!,'API - io'!$A:$H,5,0)),"-")</f>
        <v>-</v>
      </c>
      <c r="F54" t="str">
        <f>IFERROR((VLOOKUP(#REF!,'API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IFERROR((VLOOKUP(#REF!,'API - io'!$A:$H,5,0)),"-")</f>
        <v>-</v>
      </c>
      <c r="F55" t="str">
        <f>IFERROR((VLOOKUP(#REF!,'API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IFERROR((VLOOKUP(#REF!,'API - io'!$A:$H,5,0)),"-")</f>
        <v>-</v>
      </c>
      <c r="F56" t="str">
        <f>IFERROR((VLOOKUP(#REF!,'API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IFERROR((VLOOKUP(#REF!,'API - io'!$A:$H,5,0)),"-")</f>
        <v>-</v>
      </c>
      <c r="F57" t="str">
        <f>IFERROR((VLOOKUP(#REF!,'API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IFERROR((VLOOKUP(#REF!,'API - io'!$A:$H,5,0)),"-")</f>
        <v>-</v>
      </c>
      <c r="F58" t="str">
        <f>IFERROR((VLOOKUP(#REF!,'API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IFERROR((VLOOKUP(#REF!,'API - io'!$A:$H,5,0)),"-")</f>
        <v>-</v>
      </c>
      <c r="F59" t="str">
        <f>IFERROR((VLOOKUP(#REF!,'API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IFERROR((VLOOKUP(#REF!,'API - io'!$A:$H,5,0)),"-")</f>
        <v>-</v>
      </c>
      <c r="F60" t="str">
        <f>IFERROR((VLOOKUP(#REF!,'API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IFERROR((VLOOKUP(#REF!,'API - io'!$A:$H,5,0)),"-")</f>
        <v>-</v>
      </c>
      <c r="F61" t="str">
        <f>IFERROR((VLOOKUP(#REF!,'API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IFERROR((VLOOKUP(#REF!,'API - io'!$A:$H,5,0)),"-")</f>
        <v>-</v>
      </c>
      <c r="F62" t="str">
        <f>IFERROR((VLOOKUP(#REF!,'API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IFERROR((VLOOKUP(#REF!,'API - io'!$A:$H,5,0)),"-")</f>
        <v>-</v>
      </c>
      <c r="F63" t="str">
        <f>IFERROR((VLOOKUP(#REF!,'API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IFERROR((VLOOKUP(#REF!,'API - io'!$A:$H,5,0)),"-")</f>
        <v>-</v>
      </c>
      <c r="F64" t="str">
        <f>IFERROR((VLOOKUP(#REF!,'API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IFERROR((VLOOKUP(#REF!,'API - io'!$A:$H,5,0)),"-")</f>
        <v>-</v>
      </c>
      <c r="F65" t="str">
        <f>IFERROR((VLOOKUP(#REF!,'API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IFERROR((VLOOKUP(#REF!,'API - io'!$A:$H,5,0)),"-")</f>
        <v>-</v>
      </c>
      <c r="F66" t="str">
        <f>IFERROR((VLOOKUP(#REF!,'API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IFERROR((VLOOKUP(#REF!,'API - io'!$A:$H,5,0)),"-")</f>
        <v>-</v>
      </c>
      <c r="F67" t="str">
        <f>IFERROR((VLOOKUP(#REF!,'API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IFERROR((VLOOKUP(#REF!,'API - io'!$A:$H,5,0)),"-")</f>
        <v>-</v>
      </c>
      <c r="F68" t="str">
        <f>IFERROR((VLOOKUP(#REF!,'API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IFERROR((VLOOKUP(#REF!,'API - io'!$A:$H,5,0)),"-")</f>
        <v>-</v>
      </c>
      <c r="F69" t="str">
        <f>IFERROR((VLOOKUP(#REF!,'API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IFERROR((VLOOKUP(#REF!,'API - io'!$A:$H,5,0)),"-")</f>
        <v>-</v>
      </c>
      <c r="F70" t="str">
        <f>IFERROR((VLOOKUP(#REF!,'API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IFERROR((VLOOKUP(#REF!,'API - io'!$A:$H,5,0)),"-")</f>
        <v>-</v>
      </c>
      <c r="F71" t="str">
        <f>IFERROR((VLOOKUP(#REF!,'API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IFERROR((VLOOKUP(#REF!,'API - io'!$A:$H,5,0)),"-")</f>
        <v>-</v>
      </c>
      <c r="F72" t="str">
        <f>IFERROR((VLOOKUP(#REF!,'API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IFERROR((VLOOKUP(#REF!,'API - io'!$A:$H,5,0)),"-")</f>
        <v>-</v>
      </c>
      <c r="F73" t="str">
        <f>IFERROR((VLOOKUP(#REF!,'API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IFERROR((VLOOKUP(#REF!,'API - io'!$A:$H,5,0)),"-")</f>
        <v>-</v>
      </c>
      <c r="F74" t="str">
        <f>IFERROR((VLOOKUP(#REF!,'API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IFERROR((VLOOKUP(#REF!,'API - io'!$A:$H,5,0)),"-")</f>
        <v>-</v>
      </c>
      <c r="F75" t="str">
        <f>IFERROR((VLOOKUP(#REF!,'API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IFERROR((VLOOKUP(#REF!,'API - io'!$A:$H,5,0)),"-")</f>
        <v>-</v>
      </c>
      <c r="F76" t="str">
        <f>IFERROR((VLOOKUP(#REF!,'API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IFERROR((VLOOKUP(#REF!,'API - io'!$A:$H,5,0)),"-")</f>
        <v>-</v>
      </c>
      <c r="F77" t="str">
        <f>IFERROR((VLOOKUP(#REF!,'API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IFERROR((VLOOKUP(#REF!,'API - io'!$A:$H,5,0)),"-")</f>
        <v>-</v>
      </c>
      <c r="F78" t="str">
        <f>IFERROR((VLOOKUP(#REF!,'API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IFERROR((VLOOKUP(#REF!,'API - io'!$A:$H,5,0)),"-")</f>
        <v>-</v>
      </c>
      <c r="F79" t="str">
        <f>IFERROR((VLOOKUP(#REF!,'API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IFERROR((VLOOKUP(#REF!,'API - io'!$A:$H,5,0)),"-")</f>
        <v>-</v>
      </c>
      <c r="F80" t="str">
        <f>IFERROR((VLOOKUP(#REF!,'API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IFERROR((VLOOKUP(#REF!,'API - io'!$A:$H,5,0)),"-")</f>
        <v>-</v>
      </c>
      <c r="F81" t="str">
        <f>IFERROR((VLOOKUP(#REF!,'API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IFERROR((VLOOKUP(#REF!,'API - io'!$A:$H,5,0)),"-")</f>
        <v>-</v>
      </c>
      <c r="F82" t="str">
        <f>IFERROR((VLOOKUP(#REF!,'API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IFERROR((VLOOKUP(#REF!,'API - io'!$A:$H,5,0)),"-")</f>
        <v>-</v>
      </c>
      <c r="F83" t="str">
        <f>IFERROR((VLOOKUP(#REF!,'API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IFERROR((VLOOKUP(#REF!,'API - io'!$A:$H,5,0)),"-")</f>
        <v>-</v>
      </c>
      <c r="F84" t="str">
        <f>IFERROR((VLOOKUP(#REF!,'API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IFERROR((VLOOKUP(#REF!,'API - io'!$A:$H,5,0)),"-")</f>
        <v>-</v>
      </c>
      <c r="F85" t="str">
        <f>IFERROR((VLOOKUP(#REF!,'API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IFERROR((VLOOKUP(#REF!,'API - io'!$A:$H,5,0)),"-")</f>
        <v>-</v>
      </c>
      <c r="F86" t="str">
        <f>IFERROR((VLOOKUP(#REF!,'API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IFERROR((VLOOKUP(#REF!,'API - io'!$A:$H,5,0)),"-")</f>
        <v>-</v>
      </c>
      <c r="F87" t="str">
        <f>IFERROR((VLOOKUP(#REF!,'API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IFERROR((VLOOKUP(#REF!,'API - io'!$A:$H,5,0)),"-")</f>
        <v>-</v>
      </c>
      <c r="F88" t="str">
        <f>IFERROR((VLOOKUP(#REF!,'API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IFERROR((VLOOKUP(#REF!,'API - io'!$A:$H,5,0)),"-")</f>
        <v>-</v>
      </c>
      <c r="F89" t="str">
        <f>IFERROR((VLOOKUP(#REF!,'API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IFERROR((VLOOKUP(#REF!,'API - io'!$A:$H,5,0)),"-")</f>
        <v>-</v>
      </c>
      <c r="F90" t="str">
        <f>IFERROR((VLOOKUP(#REF!,'API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IFERROR((VLOOKUP(#REF!,'API - io'!$A:$H,5,0)),"-")</f>
        <v>-</v>
      </c>
      <c r="F91" t="str">
        <f>IFERROR((VLOOKUP(#REF!,'API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IFERROR((VLOOKUP(#REF!,'API - io'!$A:$H,5,0)),"-")</f>
        <v>-</v>
      </c>
      <c r="F92" t="str">
        <f>IFERROR((VLOOKUP(#REF!,'API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IFERROR((VLOOKUP(#REF!,'API - io'!$A:$H,5,0)),"-")</f>
        <v>-</v>
      </c>
      <c r="F93" t="str">
        <f>IFERROR((VLOOKUP(#REF!,'API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IFERROR((VLOOKUP(#REF!,'API - io'!$A:$H,5,0)),"-")</f>
        <v>-</v>
      </c>
      <c r="F94" t="str">
        <f>IFERROR((VLOOKUP(#REF!,'API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IFERROR((VLOOKUP(#REF!,'API - io'!$A:$H,5,0)),"-")</f>
        <v>-</v>
      </c>
      <c r="F95" t="str">
        <f>IFERROR((VLOOKUP(#REF!,'API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IFERROR((VLOOKUP(#REF!,'API - io'!$A:$H,5,0)),"-")</f>
        <v>-</v>
      </c>
      <c r="F96" t="str">
        <f>IFERROR((VLOOKUP(#REF!,'API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IFERROR((VLOOKUP(#REF!,'API - io'!$A:$H,5,0)),"-")</f>
        <v>-</v>
      </c>
      <c r="F97" t="str">
        <f>IFERROR((VLOOKUP(#REF!,'API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IFERROR((VLOOKUP(#REF!,'API - io'!$A:$H,5,0)),"-")</f>
        <v>-</v>
      </c>
      <c r="F98" t="str">
        <f>IFERROR((VLOOKUP(#REF!,'API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IFERROR((VLOOKUP(#REF!,'API - io'!$A:$H,5,0)),"-")</f>
        <v>-</v>
      </c>
      <c r="F99" t="str">
        <f>IFERROR((VLOOKUP(#REF!,'API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IFERROR((VLOOKUP(#REF!,'API - io'!$A:$H,5,0)),"-")</f>
        <v>-</v>
      </c>
      <c r="F100" t="str">
        <f>IFERROR((VLOOKUP(#REF!,'API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5" r:id="rId2" display="https://cdn.vietqr.io/img/ABB.png" xr:uid="{FC483C29-EFD7-45F9-8637-43FE725BE5FB}"/>
    <hyperlink ref="I6" r:id="rId3" display="https://cdn.vietqr.io/img/ABB.png" xr:uid="{3037F1B3-7D07-4130-8250-4B15357E5AC9}"/>
    <hyperlink ref="I7" r:id="rId4" display="https://cdn.vietqr.io/img/ABB.png" xr:uid="{82A650BB-F8E0-42D4-BE36-A7A141C71818}"/>
    <hyperlink ref="I8" r:id="rId5" display="https://cdn.vietqr.io/img/ABB.png" xr:uid="{473C6134-DE24-4B20-8FD7-D2CD9342D8A3}"/>
    <hyperlink ref="I9" r:id="rId6" display="https://cdn.vietqr.io/img/ABB.png" xr:uid="{6F2842FB-D25C-4036-8209-B3B4D598B72C}"/>
    <hyperlink ref="I10" r:id="rId7" display="https://cdn.vietqr.io/img/ABB.png" xr:uid="{A007BBFE-18CC-40B3-9DEC-E493FA0DBF3A}"/>
    <hyperlink ref="I11" r:id="rId8" display="https://cdn.vietqr.io/img/ABB.png" xr:uid="{25BFC2CA-DD97-46D6-86F6-76CAF68C46F9}"/>
    <hyperlink ref="I12" r:id="rId9" display="https://cdn.vietqr.io/img/ABB.png" xr:uid="{70B6733C-A364-4A17-91CB-820D85700782}"/>
    <hyperlink ref="I13" r:id="rId10" display="https://cdn.vietqr.io/img/ABB.png" xr:uid="{A8DC0463-148F-4F93-B1C6-B3971176DCFA}"/>
    <hyperlink ref="I14" r:id="rId11" display="https://cdn.vietqr.io/img/ABB.png" xr:uid="{3F0F0073-2FE5-471A-A917-6D1793AD8FB3}"/>
    <hyperlink ref="I15" r:id="rId12" display="https://cdn.vietqr.io/img/ABB.png" xr:uid="{E1AAC746-B9BE-41BD-95B7-A8EB5F9D4DDE}"/>
    <hyperlink ref="I16" r:id="rId13" display="https://cdn.vietqr.io/img/ABB.png" xr:uid="{E14DC72C-8DB0-4FDA-B2B9-F066B632879E}"/>
    <hyperlink ref="I17" r:id="rId14" display="https://cdn.vietqr.io/img/ABB.png" xr:uid="{D9D8BD23-88B9-4BE2-857C-69C2D8AFBE05}"/>
    <hyperlink ref="I18" r:id="rId15" display="https://cdn.vietqr.io/img/ABB.png" xr:uid="{EE60F1F9-0484-459E-9289-04E4A100CCB2}"/>
    <hyperlink ref="I19" r:id="rId16" display="https://cdn.vietqr.io/img/ABB.png" xr:uid="{BD0296BD-5656-4DB5-98B1-89D1471BF13D}"/>
    <hyperlink ref="I20" r:id="rId17" display="https://cdn.vietqr.io/img/ABB.png" xr:uid="{0F540F0E-ED4F-417D-A2FA-CCBA807A6C5F}"/>
    <hyperlink ref="I21" r:id="rId18" display="https://cdn.vietqr.io/img/ABB.png" xr:uid="{2194412E-5758-4891-834F-0A5C4493319E}"/>
    <hyperlink ref="I22" r:id="rId19" display="https://cdn.vietqr.io/img/ABB.png" xr:uid="{9A85045B-9E38-4C52-8AFB-96B265B753DB}"/>
    <hyperlink ref="I23" r:id="rId20" display="https://cdn.vietqr.io/img/ABB.png" xr:uid="{B21F88E8-E97E-4D92-9E0E-EB5B47ED56F7}"/>
    <hyperlink ref="I24" r:id="rId21" display="https://cdn.vietqr.io/img/ABB.png" xr:uid="{BAEC9E5E-FD92-452E-B74A-3E89907C4884}"/>
    <hyperlink ref="I25" r:id="rId22" display="https://cdn.vietqr.io/img/ABB.png" xr:uid="{E731EDD3-7E63-4D1B-AACA-34CD3B7D1EBC}"/>
    <hyperlink ref="I26" r:id="rId23" display="https://cdn.vietqr.io/img/ABB.png" xr:uid="{24A6A49E-B638-4BFF-9619-77527C808407}"/>
    <hyperlink ref="I27" r:id="rId24" display="https://cdn.vietqr.io/img/ABB.png" xr:uid="{BFFE5303-942F-4168-B016-D94F94248193}"/>
    <hyperlink ref="I28" r:id="rId25" display="https://cdn.vietqr.io/img/ABB.png" xr:uid="{D1610055-CCD3-4C6F-98D1-4E3BA1D61304}"/>
    <hyperlink ref="I29" r:id="rId26" display="https://cdn.vietqr.io/img/ABB.png" xr:uid="{014F45B6-9BA4-4D81-B41B-B67DE7AD2692}"/>
    <hyperlink ref="I30" r:id="rId27" display="https://cdn.vietqr.io/img/ABB.png" xr:uid="{956FB275-5E8C-43DB-9EBA-D8B0FABFCAB2}"/>
    <hyperlink ref="I31" r:id="rId28" display="https://cdn.vietqr.io/img/ABB.png" xr:uid="{FE043BF2-DC9B-47B5-AC56-B550AD78F46D}"/>
    <hyperlink ref="I32" r:id="rId29" display="https://cdn.vietqr.io/img/ABB.png" xr:uid="{6FF2AEEF-6CF0-4F90-A457-F5DEF4046869}"/>
    <hyperlink ref="I33" r:id="rId30" display="https://cdn.vietqr.io/img/ABB.png" xr:uid="{5A28C8E1-1765-4A02-9B3E-4E5357E849B6}"/>
    <hyperlink ref="I34" r:id="rId31" display="https://cdn.vietqr.io/img/ABB.png" xr:uid="{63E35D65-0F53-4F4C-A1A7-A25E54327BE1}"/>
    <hyperlink ref="I35" r:id="rId32" display="https://cdn.vietqr.io/img/ABB.png" xr:uid="{1C706DF8-10DE-4BF3-A537-3BAB0C257450}"/>
    <hyperlink ref="I36" r:id="rId33" display="https://cdn.vietqr.io/img/ABB.png" xr:uid="{BB54CC40-6FFA-4A69-ACA2-D070F9A63B7F}"/>
    <hyperlink ref="I37" r:id="rId34" display="https://cdn.vietqr.io/img/ABB.png" xr:uid="{3F75A53D-2861-415E-AE61-C023BDDAFE4B}"/>
    <hyperlink ref="I38" r:id="rId35" display="https://cdn.vietqr.io/img/ABB.png" xr:uid="{C3C34807-5843-4E80-8D28-FC2EEF289683}"/>
    <hyperlink ref="I39" r:id="rId36" display="https://cdn.vietqr.io/img/ABB.png" xr:uid="{FAA28CCE-68DB-4C7F-B987-25F24B600A37}"/>
    <hyperlink ref="I40" r:id="rId37" display="https://cdn.vietqr.io/img/ABB.png" xr:uid="{A7671E40-1DB7-4B92-B132-A441465E989E}"/>
    <hyperlink ref="I41" r:id="rId38" display="https://cdn.vietqr.io/img/ABB.png" xr:uid="{A57D205B-3FC3-44D6-90F1-32D0A730054F}"/>
    <hyperlink ref="I42" r:id="rId39" display="https://cdn.vietqr.io/img/ABB.png" xr:uid="{453D2E81-874B-484E-B04A-0B9CB52E2E43}"/>
    <hyperlink ref="I43" r:id="rId40" display="https://cdn.vietqr.io/img/ABB.png" xr:uid="{F31DDFB7-A35D-4BA8-9F7B-719DA05756FF}"/>
    <hyperlink ref="I44" r:id="rId41" display="https://cdn.vietqr.io/img/ABB.png" xr:uid="{423EAA54-0894-41C8-9F4D-B55F71CF3176}"/>
    <hyperlink ref="I45" r:id="rId42" display="https://cdn.vietqr.io/img/ABB.png" xr:uid="{658E66EE-12F1-4A96-9907-21BCF8D5FC6A}"/>
    <hyperlink ref="I46" r:id="rId43" display="https://cdn.vietqr.io/img/ABB.png" xr:uid="{997577D7-D960-47C1-B734-FA5C713397CC}"/>
    <hyperlink ref="I47" r:id="rId44" display="https://cdn.vietqr.io/img/ABB.png" xr:uid="{C82672C3-6DA5-4BD0-9F2A-3840930DE60C}"/>
    <hyperlink ref="I48" r:id="rId45" display="https://cdn.vietqr.io/img/ABB.png" xr:uid="{B8B59294-D3D2-43C7-BFBA-3407D845B282}"/>
    <hyperlink ref="I49" r:id="rId46" display="https://cdn.vietqr.io/img/ABB.png" xr:uid="{EAE81EE4-606B-447C-A35C-17F78EE5F2F0}"/>
    <hyperlink ref="I50" r:id="rId47" display="https://cdn.vietqr.io/img/ABB.png" xr:uid="{1164904F-1564-40AE-948B-BA1F90BB6787}"/>
    <hyperlink ref="I51" r:id="rId48" display="https://cdn.vietqr.io/img/ABB.png" xr:uid="{B3DA6F1B-92A4-46DB-8C08-BEE9C0CA019D}"/>
    <hyperlink ref="I52" r:id="rId49" display="https://cdn.vietqr.io/img/ABB.png" xr:uid="{D5F7063C-6766-408C-8853-312D4E87418C}"/>
    <hyperlink ref="I53" r:id="rId50" display="https://cdn.vietqr.io/img/ABB.png" xr:uid="{D38856C2-08C9-4282-B8F6-A71D5D13951B}"/>
    <hyperlink ref="I54" r:id="rId51" display="https://cdn.vietqr.io/img/ABB.png" xr:uid="{AECDD36D-40F0-4552-BBE6-9A5395741630}"/>
    <hyperlink ref="I55" r:id="rId52" display="https://cdn.vietqr.io/img/ABB.png" xr:uid="{7FCB4769-67F1-489A-B2F6-37CD06C44D86}"/>
    <hyperlink ref="I56" r:id="rId53" display="https://cdn.vietqr.io/img/ABB.png" xr:uid="{982279E8-9083-42E0-9B78-773031FF78A1}"/>
    <hyperlink ref="I57" r:id="rId54" display="https://cdn.vietqr.io/img/ABB.png" xr:uid="{65BD261B-214D-4634-9565-FEBEEEB99DFA}"/>
    <hyperlink ref="I58" r:id="rId55" display="https://cdn.vietqr.io/img/ABB.png" xr:uid="{8B05EB94-46DB-4818-A0D8-2ADFEC0D06BF}"/>
    <hyperlink ref="I59" r:id="rId56" display="https://cdn.vietqr.io/img/ABB.png" xr:uid="{79C44819-50B8-40C8-9002-0D5D3203261A}"/>
    <hyperlink ref="I60" r:id="rId57" display="https://cdn.vietqr.io/img/ABB.png" xr:uid="{B01FBFDB-5A40-4ADF-8854-632EE3F92DDD}"/>
    <hyperlink ref="I61" r:id="rId58" display="https://cdn.vietqr.io/img/ABB.png" xr:uid="{8F9F88FE-76C1-4B90-959A-755C54CBB455}"/>
    <hyperlink ref="I62" r:id="rId59" display="https://cdn.vietqr.io/img/ABB.png" xr:uid="{E623343A-A2C5-4AE8-A30C-4BD3CBCF4B66}"/>
    <hyperlink ref="I63" r:id="rId60" display="https://cdn.vietqr.io/img/ABB.png" xr:uid="{3AAD2C0D-B15E-48D7-BE58-3748D23BFA49}"/>
    <hyperlink ref="I64" r:id="rId61" display="https://cdn.vietqr.io/img/ABB.png" xr:uid="{DA5A5C4A-28B6-4D7E-A280-4F00B9078FB9}"/>
    <hyperlink ref="I65" r:id="rId62" display="https://cdn.vietqr.io/img/ABB.png" xr:uid="{FBEC57B0-1803-4E5E-BD9B-97DA47D11DE7}"/>
    <hyperlink ref="I66" r:id="rId63" display="https://cdn.vietqr.io/img/ABB.png" xr:uid="{6FD30569-042B-42F4-BBEB-D8220041AB44}"/>
    <hyperlink ref="I67" r:id="rId64" display="https://cdn.vietqr.io/img/ABB.png" xr:uid="{FF82E129-C47B-4106-B271-57C718F267FF}"/>
    <hyperlink ref="I68" r:id="rId65" display="https://cdn.vietqr.io/img/ABB.png" xr:uid="{DD0FE02F-798E-49DF-B735-1795AA5B78C7}"/>
    <hyperlink ref="I69" r:id="rId66" display="https://cdn.vietqr.io/img/ABB.png" xr:uid="{AF31D429-6589-4AD2-8241-39BA86F4311F}"/>
    <hyperlink ref="I70" r:id="rId67" display="https://cdn.vietqr.io/img/ABB.png" xr:uid="{3AD57374-07B1-4F79-9334-DB87D1BEF43B}"/>
    <hyperlink ref="I71" r:id="rId68" display="https://cdn.vietqr.io/img/ABB.png" xr:uid="{4C212843-0893-4CD4-8187-6DFB041640E3}"/>
    <hyperlink ref="I72" r:id="rId69" display="https://cdn.vietqr.io/img/ABB.png" xr:uid="{EC3DE583-B57C-4D62-9F61-40249BF3F214}"/>
    <hyperlink ref="I73" r:id="rId70" display="https://cdn.vietqr.io/img/ABB.png" xr:uid="{D98BD694-7641-41EC-8BB5-1E6D4B933DF3}"/>
    <hyperlink ref="I74" r:id="rId71" display="https://cdn.vietqr.io/img/ABB.png" xr:uid="{AB9DDEC2-2042-4684-9D72-65949AACD317}"/>
    <hyperlink ref="I75" r:id="rId72" display="https://cdn.vietqr.io/img/ABB.png" xr:uid="{B625E800-6646-4FA1-AF8F-BC7B7B133578}"/>
    <hyperlink ref="I76" r:id="rId73" display="https://cdn.vietqr.io/img/ABB.png" xr:uid="{C4C681E1-2F29-4327-B31F-E0FF93EDB5AB}"/>
    <hyperlink ref="I77" r:id="rId74" display="https://cdn.vietqr.io/img/ABB.png" xr:uid="{8B6FDDD1-D4D2-4778-91A0-0435A3B46D28}"/>
    <hyperlink ref="I78" r:id="rId75" display="https://cdn.vietqr.io/img/ABB.png" xr:uid="{E1E84E89-A99A-400C-BBFF-9EE006C2A576}"/>
    <hyperlink ref="I79" r:id="rId76" display="https://cdn.vietqr.io/img/ABB.png" xr:uid="{374FAFC3-06D9-4D6C-9202-8D00A7FEBD94}"/>
    <hyperlink ref="I80" r:id="rId77" display="https://cdn.vietqr.io/img/ABB.png" xr:uid="{AB6BBEF8-B6C6-4EC6-96DE-CBD213EE5A18}"/>
    <hyperlink ref="I81" r:id="rId78" display="https://cdn.vietqr.io/img/ABB.png" xr:uid="{18EEFAE6-325E-40EF-B532-04315FF21AFC}"/>
    <hyperlink ref="I82" r:id="rId79" display="https://cdn.vietqr.io/img/ABB.png" xr:uid="{225511B4-5A2B-40AA-A0EF-8DD87232F924}"/>
    <hyperlink ref="I83" r:id="rId80" display="https://cdn.vietqr.io/img/ABB.png" xr:uid="{7F3870A9-5F8A-485C-A19C-EBC77CBA9336}"/>
    <hyperlink ref="I84" r:id="rId81" display="https://cdn.vietqr.io/img/ABB.png" xr:uid="{E030B1F7-0423-446C-8694-5061CF5648C1}"/>
    <hyperlink ref="I85" r:id="rId82" display="https://cdn.vietqr.io/img/ABB.png" xr:uid="{374F8266-C0AD-4B1E-80FA-7C8690B02642}"/>
    <hyperlink ref="I86" r:id="rId83" display="https://cdn.vietqr.io/img/ABB.png" xr:uid="{290209E6-5C08-436D-BD62-1288981DE3B9}"/>
    <hyperlink ref="I87" r:id="rId84" display="https://cdn.vietqr.io/img/ABB.png" xr:uid="{1FCE90BE-F6EE-4130-B795-8F0CE7FFDA76}"/>
    <hyperlink ref="I88" r:id="rId85" display="https://cdn.vietqr.io/img/ABB.png" xr:uid="{51ECC150-88DD-4E4B-B879-148AB8EDCC62}"/>
    <hyperlink ref="I89" r:id="rId86" display="https://cdn.vietqr.io/img/ABB.png" xr:uid="{AD73EBC7-A3F0-423F-B1DC-C2D0F9C6EF22}"/>
    <hyperlink ref="I90" r:id="rId87" display="https://cdn.vietqr.io/img/ABB.png" xr:uid="{2AB12A22-7F90-4B27-8BBC-A22B74EC5E2B}"/>
    <hyperlink ref="I91" r:id="rId88" display="https://cdn.vietqr.io/img/ABB.png" xr:uid="{E2738125-E834-4A3C-B6E4-013F1B19CC99}"/>
    <hyperlink ref="I92" r:id="rId89" display="https://cdn.vietqr.io/img/ABB.png" xr:uid="{AE1028EE-BFFE-4B5C-BD7F-7FBB339C784D}"/>
    <hyperlink ref="I93" r:id="rId90" display="https://cdn.vietqr.io/img/ABB.png" xr:uid="{4B5FBB30-F002-4263-B10E-C1420F7DEE10}"/>
    <hyperlink ref="I94" r:id="rId91" display="https://cdn.vietqr.io/img/ABB.png" xr:uid="{9852FE45-8185-4641-BE4B-4E107F531FBE}"/>
    <hyperlink ref="I95" r:id="rId92" display="https://cdn.vietqr.io/img/ABB.png" xr:uid="{87465DF5-4611-4549-A9B9-34D112D52956}"/>
    <hyperlink ref="I96" r:id="rId93" display="https://cdn.vietqr.io/img/ABB.png" xr:uid="{BAEE5106-10E5-4D06-9E1B-B29D578656ED}"/>
    <hyperlink ref="I97" r:id="rId94" display="https://cdn.vietqr.io/img/ABB.png" xr:uid="{E561A5B5-39E6-4E11-AD5F-2E61B6EA89E4}"/>
    <hyperlink ref="I98" r:id="rId95" display="https://cdn.vietqr.io/img/ABB.png" xr:uid="{C3C466A5-6762-4583-8DAC-2CE0EFC7782C}"/>
    <hyperlink ref="I99" r:id="rId96" display="https://cdn.vietqr.io/img/ABB.png" xr:uid="{23153672-78D8-4D94-AFC9-911081558E45}"/>
    <hyperlink ref="I100" r:id="rId97" display="https://cdn.vietqr.io/img/ABB.png" xr:uid="{78EBB79B-FA99-4D55-A070-5F7B35EC8C38}"/>
    <hyperlink ref="I3" r:id="rId98" display="https://cdn.vietqr.io/img/ABB.png" xr:uid="{F0530477-D574-4DF7-8D42-DF853CB0590F}"/>
    <hyperlink ref="I4" r:id="rId99" display="https://cdn.vietqr.io/img/ABB.png" xr:uid="{273F6283-649D-484E-A4C7-29A59CCA0C7D}"/>
  </hyperlinks>
  <pageMargins left="0.7" right="0.7" top="0.75" bottom="0.75" header="0.3" footer="0.3"/>
  <ignoredErrors>
    <ignoredError sqref="A1:J1 A3 C3:D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34" workbookViewId="0">
      <selection activeCell="A46" sqref="A46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11</v>
      </c>
    </row>
    <row r="2" spans="1:8" x14ac:dyDescent="0.3">
      <c r="A2">
        <v>1</v>
      </c>
      <c r="B2" t="s">
        <v>12</v>
      </c>
      <c r="C2" t="s">
        <v>13</v>
      </c>
      <c r="D2">
        <v>970425</v>
      </c>
      <c r="E2" t="s">
        <v>14</v>
      </c>
      <c r="F2" t="s">
        <v>15</v>
      </c>
      <c r="G2" t="s">
        <v>14</v>
      </c>
      <c r="H2" t="s">
        <v>16</v>
      </c>
    </row>
    <row r="3" spans="1:8" x14ac:dyDescent="0.3">
      <c r="A3">
        <v>2</v>
      </c>
      <c r="B3" t="s">
        <v>17</v>
      </c>
      <c r="C3" t="s">
        <v>18</v>
      </c>
      <c r="D3">
        <v>970416</v>
      </c>
      <c r="E3" t="s">
        <v>18</v>
      </c>
      <c r="F3" t="s">
        <v>19</v>
      </c>
      <c r="G3" t="s">
        <v>18</v>
      </c>
      <c r="H3" t="s">
        <v>20</v>
      </c>
    </row>
    <row r="4" spans="1:8" x14ac:dyDescent="0.3">
      <c r="A4">
        <v>3</v>
      </c>
      <c r="B4" t="s">
        <v>21</v>
      </c>
      <c r="C4" t="s">
        <v>22</v>
      </c>
      <c r="D4">
        <v>970409</v>
      </c>
      <c r="E4" t="s">
        <v>23</v>
      </c>
      <c r="F4" t="s">
        <v>24</v>
      </c>
      <c r="G4" t="s">
        <v>23</v>
      </c>
      <c r="H4" t="s">
        <v>25</v>
      </c>
    </row>
    <row r="5" spans="1:8" x14ac:dyDescent="0.3">
      <c r="A5">
        <v>4</v>
      </c>
      <c r="B5" t="s">
        <v>26</v>
      </c>
      <c r="C5" t="s">
        <v>27</v>
      </c>
      <c r="D5">
        <v>970418</v>
      </c>
      <c r="E5" t="s">
        <v>27</v>
      </c>
      <c r="F5" t="s">
        <v>28</v>
      </c>
      <c r="G5" t="s">
        <v>27</v>
      </c>
      <c r="H5" t="s">
        <v>29</v>
      </c>
    </row>
    <row r="6" spans="1:8" x14ac:dyDescent="0.3">
      <c r="A6">
        <v>5</v>
      </c>
      <c r="B6" t="s">
        <v>30</v>
      </c>
      <c r="C6" t="s">
        <v>31</v>
      </c>
      <c r="D6">
        <v>970438</v>
      </c>
      <c r="E6" t="s">
        <v>32</v>
      </c>
      <c r="F6" t="s">
        <v>33</v>
      </c>
      <c r="G6" t="s">
        <v>32</v>
      </c>
      <c r="H6" t="s">
        <v>34</v>
      </c>
    </row>
    <row r="7" spans="1:8" x14ac:dyDescent="0.3">
      <c r="A7">
        <v>6</v>
      </c>
      <c r="B7" t="s">
        <v>35</v>
      </c>
      <c r="C7" t="s">
        <v>36</v>
      </c>
      <c r="D7">
        <v>970444</v>
      </c>
      <c r="E7" t="s">
        <v>37</v>
      </c>
      <c r="F7" t="s">
        <v>38</v>
      </c>
      <c r="G7" t="s">
        <v>37</v>
      </c>
    </row>
    <row r="8" spans="1:8" x14ac:dyDescent="0.3">
      <c r="A8">
        <v>7</v>
      </c>
      <c r="B8" t="s">
        <v>39</v>
      </c>
      <c r="C8" t="s">
        <v>40</v>
      </c>
      <c r="D8">
        <v>422589</v>
      </c>
      <c r="E8" t="s">
        <v>40</v>
      </c>
      <c r="F8" t="s">
        <v>41</v>
      </c>
      <c r="G8" t="s">
        <v>40</v>
      </c>
    </row>
    <row r="9" spans="1:8" x14ac:dyDescent="0.3">
      <c r="A9">
        <v>8</v>
      </c>
      <c r="B9" t="s">
        <v>42</v>
      </c>
      <c r="C9" t="s">
        <v>43</v>
      </c>
      <c r="D9">
        <v>796500</v>
      </c>
      <c r="E9" t="s">
        <v>44</v>
      </c>
      <c r="F9" t="s">
        <v>45</v>
      </c>
      <c r="G9" t="s">
        <v>44</v>
      </c>
    </row>
    <row r="10" spans="1:8" x14ac:dyDescent="0.3">
      <c r="A10">
        <v>9</v>
      </c>
      <c r="B10" t="s">
        <v>46</v>
      </c>
      <c r="C10" t="s">
        <v>47</v>
      </c>
      <c r="D10">
        <v>970406</v>
      </c>
      <c r="E10" t="s">
        <v>47</v>
      </c>
      <c r="F10" t="s">
        <v>48</v>
      </c>
      <c r="G10" t="s">
        <v>47</v>
      </c>
    </row>
    <row r="11" spans="1:8" x14ac:dyDescent="0.3">
      <c r="A11">
        <v>10</v>
      </c>
      <c r="B11" t="s">
        <v>49</v>
      </c>
      <c r="C11" t="s">
        <v>50</v>
      </c>
      <c r="D11">
        <v>970431</v>
      </c>
      <c r="E11" t="s">
        <v>51</v>
      </c>
      <c r="F11" t="s">
        <v>52</v>
      </c>
      <c r="G11" t="s">
        <v>51</v>
      </c>
    </row>
    <row r="12" spans="1:8" x14ac:dyDescent="0.3">
      <c r="A12">
        <v>11</v>
      </c>
      <c r="B12" t="s">
        <v>53</v>
      </c>
      <c r="C12" t="s">
        <v>54</v>
      </c>
      <c r="D12">
        <v>970408</v>
      </c>
      <c r="E12" t="s">
        <v>55</v>
      </c>
      <c r="F12" t="s">
        <v>56</v>
      </c>
      <c r="G12" t="s">
        <v>55</v>
      </c>
    </row>
    <row r="13" spans="1:8" x14ac:dyDescent="0.3">
      <c r="A13">
        <v>12</v>
      </c>
      <c r="B13" t="s">
        <v>57</v>
      </c>
      <c r="C13" t="s">
        <v>58</v>
      </c>
      <c r="D13">
        <v>970437</v>
      </c>
      <c r="E13" t="s">
        <v>59</v>
      </c>
      <c r="F13" t="s">
        <v>60</v>
      </c>
      <c r="G13" t="s">
        <v>59</v>
      </c>
    </row>
    <row r="14" spans="1:8" x14ac:dyDescent="0.3">
      <c r="A14">
        <v>13</v>
      </c>
      <c r="B14" t="s">
        <v>61</v>
      </c>
      <c r="C14" t="s">
        <v>62</v>
      </c>
      <c r="D14">
        <v>970442</v>
      </c>
      <c r="E14" t="s">
        <v>63</v>
      </c>
      <c r="F14" t="s">
        <v>64</v>
      </c>
      <c r="G14" t="s">
        <v>63</v>
      </c>
    </row>
    <row r="15" spans="1:8" x14ac:dyDescent="0.3">
      <c r="A15">
        <v>14</v>
      </c>
      <c r="B15" t="s">
        <v>65</v>
      </c>
      <c r="C15" t="s">
        <v>66</v>
      </c>
      <c r="D15">
        <v>458761</v>
      </c>
      <c r="E15" t="s">
        <v>66</v>
      </c>
      <c r="F15" t="s">
        <v>67</v>
      </c>
      <c r="G15" t="s">
        <v>66</v>
      </c>
    </row>
    <row r="16" spans="1:8" x14ac:dyDescent="0.3">
      <c r="A16">
        <v>15</v>
      </c>
      <c r="B16" t="s">
        <v>68</v>
      </c>
      <c r="C16" t="s">
        <v>69</v>
      </c>
      <c r="D16">
        <v>970455</v>
      </c>
      <c r="E16" t="s">
        <v>70</v>
      </c>
      <c r="F16" t="s">
        <v>71</v>
      </c>
      <c r="G16" t="s">
        <v>70</v>
      </c>
    </row>
    <row r="17" spans="1:7" x14ac:dyDescent="0.3">
      <c r="A17">
        <v>16</v>
      </c>
      <c r="B17" t="s">
        <v>72</v>
      </c>
      <c r="C17" t="s">
        <v>73</v>
      </c>
      <c r="D17">
        <v>970456</v>
      </c>
      <c r="E17" t="s">
        <v>74</v>
      </c>
      <c r="F17" t="s">
        <v>71</v>
      </c>
      <c r="G17" t="s">
        <v>74</v>
      </c>
    </row>
    <row r="18" spans="1:7" x14ac:dyDescent="0.3">
      <c r="A18">
        <v>17</v>
      </c>
      <c r="B18" t="s">
        <v>75</v>
      </c>
      <c r="C18" t="s">
        <v>76</v>
      </c>
      <c r="D18">
        <v>970415</v>
      </c>
      <c r="E18" t="s">
        <v>77</v>
      </c>
      <c r="F18" t="s">
        <v>78</v>
      </c>
      <c r="G18" t="s">
        <v>77</v>
      </c>
    </row>
    <row r="19" spans="1:7" x14ac:dyDescent="0.3">
      <c r="A19">
        <v>18</v>
      </c>
      <c r="B19" t="s">
        <v>79</v>
      </c>
      <c r="C19" t="s">
        <v>80</v>
      </c>
      <c r="D19">
        <v>970434</v>
      </c>
      <c r="E19" t="s">
        <v>81</v>
      </c>
      <c r="F19" t="s">
        <v>82</v>
      </c>
      <c r="G19" t="s">
        <v>81</v>
      </c>
    </row>
    <row r="20" spans="1:7" x14ac:dyDescent="0.3">
      <c r="A20">
        <v>19</v>
      </c>
      <c r="B20" t="s">
        <v>83</v>
      </c>
      <c r="C20" t="s">
        <v>84</v>
      </c>
      <c r="D20">
        <v>970452</v>
      </c>
      <c r="E20" t="s">
        <v>85</v>
      </c>
      <c r="F20" t="s">
        <v>86</v>
      </c>
      <c r="G20" t="s">
        <v>85</v>
      </c>
    </row>
    <row r="21" spans="1:7" x14ac:dyDescent="0.3">
      <c r="A21">
        <v>20</v>
      </c>
      <c r="B21" t="s">
        <v>87</v>
      </c>
      <c r="C21" t="s">
        <v>88</v>
      </c>
      <c r="D21">
        <v>970449</v>
      </c>
      <c r="E21" t="s">
        <v>89</v>
      </c>
      <c r="F21" t="s">
        <v>90</v>
      </c>
      <c r="G21" t="s">
        <v>89</v>
      </c>
    </row>
    <row r="22" spans="1:7" x14ac:dyDescent="0.3">
      <c r="A22">
        <v>21</v>
      </c>
      <c r="B22" t="s">
        <v>91</v>
      </c>
      <c r="C22" t="s">
        <v>92</v>
      </c>
      <c r="D22">
        <v>970422</v>
      </c>
      <c r="E22" t="s">
        <v>93</v>
      </c>
      <c r="F22" t="s">
        <v>94</v>
      </c>
      <c r="G22" t="s">
        <v>93</v>
      </c>
    </row>
    <row r="23" spans="1:7" x14ac:dyDescent="0.3">
      <c r="A23">
        <v>22</v>
      </c>
      <c r="B23" t="s">
        <v>95</v>
      </c>
      <c r="C23" t="s">
        <v>96</v>
      </c>
      <c r="D23">
        <v>970426</v>
      </c>
      <c r="E23" t="s">
        <v>96</v>
      </c>
      <c r="F23" t="s">
        <v>97</v>
      </c>
      <c r="G23" t="s">
        <v>96</v>
      </c>
    </row>
    <row r="24" spans="1:7" x14ac:dyDescent="0.3">
      <c r="A24">
        <v>23</v>
      </c>
      <c r="B24" t="s">
        <v>98</v>
      </c>
      <c r="C24" t="s">
        <v>99</v>
      </c>
      <c r="D24">
        <v>970428</v>
      </c>
      <c r="E24" t="s">
        <v>100</v>
      </c>
      <c r="F24" t="s">
        <v>101</v>
      </c>
      <c r="G24" t="s">
        <v>100</v>
      </c>
    </row>
    <row r="25" spans="1:7" x14ac:dyDescent="0.3">
      <c r="A25">
        <v>24</v>
      </c>
      <c r="B25" t="s">
        <v>102</v>
      </c>
      <c r="C25" t="s">
        <v>103</v>
      </c>
      <c r="D25">
        <v>970419</v>
      </c>
      <c r="E25" t="s">
        <v>103</v>
      </c>
      <c r="F25" t="s">
        <v>104</v>
      </c>
      <c r="G25" t="s">
        <v>103</v>
      </c>
    </row>
    <row r="26" spans="1:7" x14ac:dyDescent="0.3">
      <c r="A26">
        <v>25</v>
      </c>
      <c r="B26" t="s">
        <v>105</v>
      </c>
      <c r="C26" t="s">
        <v>106</v>
      </c>
      <c r="D26">
        <v>801011</v>
      </c>
      <c r="E26" t="s">
        <v>107</v>
      </c>
      <c r="F26" t="s">
        <v>108</v>
      </c>
      <c r="G26" t="s">
        <v>107</v>
      </c>
    </row>
    <row r="27" spans="1:7" x14ac:dyDescent="0.3">
      <c r="A27">
        <v>26</v>
      </c>
      <c r="B27" t="s">
        <v>109</v>
      </c>
      <c r="C27" t="s">
        <v>110</v>
      </c>
      <c r="D27">
        <v>970448</v>
      </c>
      <c r="E27" t="s">
        <v>110</v>
      </c>
      <c r="F27" t="s">
        <v>111</v>
      </c>
      <c r="G27" t="s">
        <v>110</v>
      </c>
    </row>
    <row r="28" spans="1:7" x14ac:dyDescent="0.3">
      <c r="A28">
        <v>27</v>
      </c>
      <c r="B28" t="s">
        <v>112</v>
      </c>
      <c r="C28" t="s">
        <v>113</v>
      </c>
      <c r="D28">
        <v>970414</v>
      </c>
      <c r="E28" t="s">
        <v>113</v>
      </c>
      <c r="F28" t="s">
        <v>114</v>
      </c>
      <c r="G28" t="s">
        <v>113</v>
      </c>
    </row>
    <row r="29" spans="1:7" x14ac:dyDescent="0.3">
      <c r="A29">
        <v>28</v>
      </c>
      <c r="B29" t="s">
        <v>115</v>
      </c>
      <c r="C29" t="s">
        <v>116</v>
      </c>
      <c r="D29">
        <v>970439</v>
      </c>
      <c r="E29" t="s">
        <v>117</v>
      </c>
      <c r="F29" t="s">
        <v>118</v>
      </c>
      <c r="G29" t="s">
        <v>117</v>
      </c>
    </row>
    <row r="30" spans="1:7" x14ac:dyDescent="0.3">
      <c r="A30">
        <v>29</v>
      </c>
      <c r="B30" t="s">
        <v>119</v>
      </c>
      <c r="C30" t="s">
        <v>120</v>
      </c>
      <c r="D30">
        <v>970430</v>
      </c>
      <c r="E30" t="s">
        <v>121</v>
      </c>
      <c r="F30" t="s">
        <v>122</v>
      </c>
      <c r="G30" t="s">
        <v>121</v>
      </c>
    </row>
    <row r="31" spans="1:7" x14ac:dyDescent="0.3">
      <c r="A31">
        <v>30</v>
      </c>
      <c r="B31" t="s">
        <v>123</v>
      </c>
      <c r="C31" t="s">
        <v>124</v>
      </c>
      <c r="D31">
        <v>970412</v>
      </c>
      <c r="E31" t="s">
        <v>125</v>
      </c>
      <c r="F31" t="s">
        <v>126</v>
      </c>
      <c r="G31" t="s">
        <v>125</v>
      </c>
    </row>
    <row r="32" spans="1:7" x14ac:dyDescent="0.3">
      <c r="A32">
        <v>31</v>
      </c>
      <c r="B32" t="s">
        <v>127</v>
      </c>
      <c r="C32" t="s">
        <v>128</v>
      </c>
      <c r="D32">
        <v>970429</v>
      </c>
      <c r="E32" t="s">
        <v>128</v>
      </c>
      <c r="F32" t="s">
        <v>129</v>
      </c>
      <c r="G32" t="s">
        <v>128</v>
      </c>
    </row>
    <row r="33" spans="1:7" x14ac:dyDescent="0.3">
      <c r="A33">
        <v>32</v>
      </c>
      <c r="B33" t="s">
        <v>130</v>
      </c>
      <c r="C33" t="s">
        <v>131</v>
      </c>
      <c r="D33">
        <v>970410</v>
      </c>
      <c r="E33" t="s">
        <v>132</v>
      </c>
      <c r="F33" t="s">
        <v>133</v>
      </c>
      <c r="G33" t="s">
        <v>132</v>
      </c>
    </row>
    <row r="34" spans="1:7" x14ac:dyDescent="0.3">
      <c r="A34">
        <v>33</v>
      </c>
      <c r="B34" t="s">
        <v>134</v>
      </c>
      <c r="C34" t="s">
        <v>135</v>
      </c>
      <c r="D34">
        <v>970440</v>
      </c>
      <c r="E34" t="s">
        <v>136</v>
      </c>
      <c r="F34" t="s">
        <v>137</v>
      </c>
      <c r="G34" t="s">
        <v>136</v>
      </c>
    </row>
    <row r="35" spans="1:7" x14ac:dyDescent="0.3">
      <c r="A35">
        <v>34</v>
      </c>
      <c r="B35" t="s">
        <v>138</v>
      </c>
      <c r="C35" t="s">
        <v>139</v>
      </c>
      <c r="D35">
        <v>970400</v>
      </c>
      <c r="E35" t="s">
        <v>140</v>
      </c>
      <c r="F35" t="s">
        <v>141</v>
      </c>
      <c r="G35" t="s">
        <v>140</v>
      </c>
    </row>
    <row r="36" spans="1:7" x14ac:dyDescent="0.3">
      <c r="A36">
        <v>35</v>
      </c>
      <c r="B36" t="s">
        <v>142</v>
      </c>
      <c r="C36" t="s">
        <v>143</v>
      </c>
      <c r="D36">
        <v>970443</v>
      </c>
      <c r="E36" t="s">
        <v>143</v>
      </c>
      <c r="F36" t="s">
        <v>144</v>
      </c>
      <c r="G36" t="s">
        <v>143</v>
      </c>
    </row>
    <row r="37" spans="1:7" x14ac:dyDescent="0.3">
      <c r="A37">
        <v>36</v>
      </c>
      <c r="B37" t="s">
        <v>145</v>
      </c>
      <c r="C37" t="s">
        <v>146</v>
      </c>
      <c r="D37">
        <v>970403</v>
      </c>
      <c r="E37" t="s">
        <v>147</v>
      </c>
      <c r="F37" t="s">
        <v>148</v>
      </c>
      <c r="G37" t="s">
        <v>147</v>
      </c>
    </row>
    <row r="38" spans="1:7" x14ac:dyDescent="0.3">
      <c r="A38">
        <v>37</v>
      </c>
      <c r="B38" t="s">
        <v>149</v>
      </c>
      <c r="C38" t="s">
        <v>150</v>
      </c>
      <c r="D38">
        <v>970424</v>
      </c>
      <c r="E38" t="s">
        <v>151</v>
      </c>
      <c r="F38" t="s">
        <v>152</v>
      </c>
      <c r="G38" t="s">
        <v>151</v>
      </c>
    </row>
    <row r="39" spans="1:7" x14ac:dyDescent="0.3">
      <c r="A39">
        <v>38</v>
      </c>
      <c r="B39" t="s">
        <v>153</v>
      </c>
      <c r="C39" t="s">
        <v>154</v>
      </c>
      <c r="D39">
        <v>970407</v>
      </c>
      <c r="E39" t="s">
        <v>155</v>
      </c>
      <c r="F39" t="s">
        <v>156</v>
      </c>
      <c r="G39" t="s">
        <v>155</v>
      </c>
    </row>
    <row r="40" spans="1:7" x14ac:dyDescent="0.3">
      <c r="A40">
        <v>39</v>
      </c>
      <c r="B40" t="s">
        <v>157</v>
      </c>
      <c r="C40" t="s">
        <v>158</v>
      </c>
      <c r="D40">
        <v>970423</v>
      </c>
      <c r="E40" t="s">
        <v>159</v>
      </c>
      <c r="F40" t="s">
        <v>160</v>
      </c>
      <c r="G40" t="s">
        <v>159</v>
      </c>
    </row>
    <row r="41" spans="1:7" x14ac:dyDescent="0.3">
      <c r="A41">
        <v>40</v>
      </c>
      <c r="B41" t="s">
        <v>161</v>
      </c>
      <c r="C41" t="s">
        <v>162</v>
      </c>
      <c r="D41">
        <v>970458</v>
      </c>
      <c r="E41" t="s">
        <v>163</v>
      </c>
      <c r="F41" t="s">
        <v>164</v>
      </c>
      <c r="G41" t="s">
        <v>163</v>
      </c>
    </row>
    <row r="42" spans="1:7" x14ac:dyDescent="0.3">
      <c r="A42">
        <v>41</v>
      </c>
      <c r="B42" t="s">
        <v>165</v>
      </c>
      <c r="C42" t="s">
        <v>166</v>
      </c>
      <c r="D42">
        <v>970427</v>
      </c>
      <c r="E42" t="s">
        <v>167</v>
      </c>
      <c r="F42" t="s">
        <v>168</v>
      </c>
      <c r="G42" t="s">
        <v>167</v>
      </c>
    </row>
    <row r="43" spans="1:7" x14ac:dyDescent="0.3">
      <c r="A43">
        <v>42</v>
      </c>
      <c r="B43" t="s">
        <v>169</v>
      </c>
      <c r="C43" t="s">
        <v>170</v>
      </c>
      <c r="D43">
        <v>970405</v>
      </c>
      <c r="E43" t="s">
        <v>171</v>
      </c>
      <c r="F43" t="s">
        <v>172</v>
      </c>
      <c r="G43" t="s">
        <v>171</v>
      </c>
    </row>
    <row r="44" spans="1:7" x14ac:dyDescent="0.3">
      <c r="A44">
        <v>43</v>
      </c>
      <c r="B44" t="s">
        <v>173</v>
      </c>
      <c r="C44" t="s">
        <v>174</v>
      </c>
      <c r="D44">
        <v>970436</v>
      </c>
      <c r="E44" t="s">
        <v>175</v>
      </c>
      <c r="F44" t="s">
        <v>176</v>
      </c>
      <c r="G44" t="s">
        <v>175</v>
      </c>
    </row>
    <row r="45" spans="1:7" x14ac:dyDescent="0.3">
      <c r="A45">
        <v>44</v>
      </c>
      <c r="B45" t="s">
        <v>177</v>
      </c>
      <c r="C45" t="s">
        <v>178</v>
      </c>
      <c r="D45">
        <v>970454</v>
      </c>
      <c r="E45" t="s">
        <v>179</v>
      </c>
      <c r="F45" t="s">
        <v>180</v>
      </c>
      <c r="G45" t="s">
        <v>179</v>
      </c>
    </row>
    <row r="46" spans="1:7" x14ac:dyDescent="0.3">
      <c r="A46">
        <v>45</v>
      </c>
      <c r="B46" t="s">
        <v>181</v>
      </c>
      <c r="C46" t="s">
        <v>182</v>
      </c>
      <c r="D46">
        <v>970441</v>
      </c>
      <c r="E46" t="s">
        <v>182</v>
      </c>
      <c r="F46" t="s">
        <v>183</v>
      </c>
      <c r="G46" t="s">
        <v>182</v>
      </c>
    </row>
    <row r="47" spans="1:7" x14ac:dyDescent="0.3">
      <c r="A47">
        <v>46</v>
      </c>
      <c r="B47" t="s">
        <v>184</v>
      </c>
      <c r="C47" t="s">
        <v>185</v>
      </c>
      <c r="D47">
        <v>970433</v>
      </c>
      <c r="E47" t="s">
        <v>186</v>
      </c>
      <c r="F47" t="s">
        <v>187</v>
      </c>
      <c r="G47" t="s">
        <v>186</v>
      </c>
    </row>
    <row r="48" spans="1:7" x14ac:dyDescent="0.3">
      <c r="A48">
        <v>47</v>
      </c>
      <c r="B48" t="s">
        <v>188</v>
      </c>
      <c r="C48" t="s">
        <v>189</v>
      </c>
      <c r="D48">
        <v>970432</v>
      </c>
      <c r="E48" t="s">
        <v>190</v>
      </c>
      <c r="F48" t="s">
        <v>191</v>
      </c>
      <c r="G48" t="s">
        <v>190</v>
      </c>
    </row>
    <row r="49" spans="1:7" x14ac:dyDescent="0.3">
      <c r="A49">
        <v>48</v>
      </c>
      <c r="B49" t="s">
        <v>192</v>
      </c>
      <c r="C49" t="s">
        <v>193</v>
      </c>
      <c r="D49">
        <v>970421</v>
      </c>
      <c r="E49" t="s">
        <v>193</v>
      </c>
      <c r="F49" t="s">
        <v>194</v>
      </c>
      <c r="G49" t="s">
        <v>193</v>
      </c>
    </row>
    <row r="50" spans="1:7" x14ac:dyDescent="0.3">
      <c r="A50">
        <v>49</v>
      </c>
      <c r="B50" t="s">
        <v>195</v>
      </c>
      <c r="C50" t="s">
        <v>196</v>
      </c>
      <c r="D50">
        <v>970457</v>
      </c>
      <c r="E50" t="s">
        <v>197</v>
      </c>
      <c r="F50" t="s">
        <v>198</v>
      </c>
      <c r="G50" t="s">
        <v>197</v>
      </c>
    </row>
    <row r="51" spans="1:7" x14ac:dyDescent="0.3">
      <c r="A51">
        <v>50</v>
      </c>
      <c r="B51" t="s">
        <v>199</v>
      </c>
      <c r="C51" t="s">
        <v>200</v>
      </c>
      <c r="D51">
        <v>970462</v>
      </c>
      <c r="E51" t="s">
        <v>201</v>
      </c>
      <c r="F51" t="s">
        <v>202</v>
      </c>
      <c r="G51" t="s">
        <v>201</v>
      </c>
    </row>
    <row r="52" spans="1:7" x14ac:dyDescent="0.3">
      <c r="A52">
        <v>51</v>
      </c>
      <c r="B52" t="s">
        <v>203</v>
      </c>
      <c r="C52" t="s">
        <v>204</v>
      </c>
      <c r="D52">
        <v>970463</v>
      </c>
      <c r="E52" t="s">
        <v>205</v>
      </c>
      <c r="F52" t="s">
        <v>206</v>
      </c>
      <c r="G52" t="s">
        <v>205</v>
      </c>
    </row>
    <row r="53" spans="1:7" x14ac:dyDescent="0.3">
      <c r="A53">
        <v>52</v>
      </c>
      <c r="B53" t="s">
        <v>207</v>
      </c>
      <c r="C53" t="s">
        <v>208</v>
      </c>
      <c r="D53">
        <v>970446</v>
      </c>
      <c r="E53" t="s">
        <v>208</v>
      </c>
      <c r="F53" t="s">
        <v>209</v>
      </c>
      <c r="G53" t="s">
        <v>208</v>
      </c>
    </row>
    <row r="54" spans="1:7" x14ac:dyDescent="0.3">
      <c r="A54">
        <v>53</v>
      </c>
      <c r="B54" t="s">
        <v>210</v>
      </c>
      <c r="C54" t="s">
        <v>211</v>
      </c>
      <c r="D54">
        <v>546034</v>
      </c>
      <c r="E54" t="s">
        <v>211</v>
      </c>
      <c r="F54" t="s">
        <v>212</v>
      </c>
      <c r="G54" t="s">
        <v>211</v>
      </c>
    </row>
    <row r="55" spans="1:7" x14ac:dyDescent="0.3">
      <c r="A55">
        <v>54</v>
      </c>
      <c r="B55" t="s">
        <v>213</v>
      </c>
      <c r="C55" t="s">
        <v>214</v>
      </c>
      <c r="D55">
        <v>546035</v>
      </c>
      <c r="E55" t="s">
        <v>214</v>
      </c>
      <c r="F55" t="s">
        <v>215</v>
      </c>
      <c r="G55" t="s">
        <v>214</v>
      </c>
    </row>
    <row r="56" spans="1:7" x14ac:dyDescent="0.3">
      <c r="A56">
        <v>55</v>
      </c>
      <c r="B56" t="s">
        <v>216</v>
      </c>
      <c r="C56" t="s">
        <v>217</v>
      </c>
      <c r="D56">
        <v>668888</v>
      </c>
      <c r="E56" t="s">
        <v>217</v>
      </c>
      <c r="F56" t="s">
        <v>218</v>
      </c>
      <c r="G56" t="s">
        <v>217</v>
      </c>
    </row>
    <row r="57" spans="1:7" x14ac:dyDescent="0.3">
      <c r="A57">
        <v>56</v>
      </c>
      <c r="B57" t="s">
        <v>219</v>
      </c>
      <c r="C57" t="s">
        <v>220</v>
      </c>
      <c r="D57">
        <v>971011</v>
      </c>
      <c r="E57" t="s">
        <v>221</v>
      </c>
      <c r="F57" t="s">
        <v>222</v>
      </c>
      <c r="G57" t="s">
        <v>221</v>
      </c>
    </row>
    <row r="58" spans="1:7" x14ac:dyDescent="0.3">
      <c r="A58">
        <v>57</v>
      </c>
      <c r="B58" t="s">
        <v>223</v>
      </c>
      <c r="C58" t="s">
        <v>224</v>
      </c>
      <c r="D58">
        <v>971005</v>
      </c>
      <c r="E58" t="s">
        <v>225</v>
      </c>
      <c r="F58" t="s">
        <v>226</v>
      </c>
      <c r="G58" t="s">
        <v>225</v>
      </c>
    </row>
    <row r="59" spans="1:7" x14ac:dyDescent="0.3">
      <c r="A59">
        <v>58</v>
      </c>
      <c r="B59" t="s">
        <v>227</v>
      </c>
      <c r="C59" t="s">
        <v>228</v>
      </c>
      <c r="D59">
        <v>963388</v>
      </c>
      <c r="E59" t="s">
        <v>229</v>
      </c>
      <c r="F59" t="s">
        <v>230</v>
      </c>
      <c r="G59" t="s">
        <v>229</v>
      </c>
    </row>
    <row r="60" spans="1:7" x14ac:dyDescent="0.3">
      <c r="A60">
        <v>59</v>
      </c>
      <c r="B60" t="s">
        <v>231</v>
      </c>
      <c r="C60" t="s">
        <v>232</v>
      </c>
      <c r="D60">
        <v>533948</v>
      </c>
      <c r="E60" t="s">
        <v>233</v>
      </c>
      <c r="F60" t="s">
        <v>234</v>
      </c>
      <c r="G60" t="s">
        <v>233</v>
      </c>
    </row>
    <row r="61" spans="1:7" x14ac:dyDescent="0.3">
      <c r="A61">
        <v>60</v>
      </c>
      <c r="B61" t="s">
        <v>235</v>
      </c>
      <c r="C61" t="s">
        <v>236</v>
      </c>
      <c r="D61">
        <v>970466</v>
      </c>
      <c r="E61" t="s">
        <v>237</v>
      </c>
      <c r="F61" t="s">
        <v>238</v>
      </c>
      <c r="G61" t="s">
        <v>237</v>
      </c>
    </row>
    <row r="62" spans="1:7" x14ac:dyDescent="0.3">
      <c r="A62">
        <v>61</v>
      </c>
      <c r="B62" t="s">
        <v>239</v>
      </c>
      <c r="C62" t="s">
        <v>240</v>
      </c>
      <c r="D62">
        <v>970467</v>
      </c>
      <c r="E62" t="s">
        <v>240</v>
      </c>
      <c r="F62" t="s">
        <v>241</v>
      </c>
      <c r="G62" t="s">
        <v>240</v>
      </c>
    </row>
    <row r="63" spans="1:7" x14ac:dyDescent="0.3">
      <c r="A63">
        <v>62</v>
      </c>
      <c r="B63" t="s">
        <v>242</v>
      </c>
      <c r="C63" t="s">
        <v>243</v>
      </c>
      <c r="D63">
        <v>977777</v>
      </c>
      <c r="E63" t="s">
        <v>243</v>
      </c>
      <c r="F63" t="s">
        <v>244</v>
      </c>
      <c r="G63" t="s">
        <v>243</v>
      </c>
    </row>
    <row r="64" spans="1:7" x14ac:dyDescent="0.3">
      <c r="A64">
        <v>63</v>
      </c>
      <c r="B64" t="s">
        <v>245</v>
      </c>
      <c r="C64" t="s">
        <v>246</v>
      </c>
      <c r="D64">
        <v>999888</v>
      </c>
      <c r="E64" t="s">
        <v>246</v>
      </c>
      <c r="F64" t="s">
        <v>247</v>
      </c>
      <c r="G64" t="s">
        <v>246</v>
      </c>
    </row>
    <row r="65" spans="1:7" x14ac:dyDescent="0.3">
      <c r="A65">
        <v>64</v>
      </c>
      <c r="B65" t="s">
        <v>248</v>
      </c>
      <c r="C65" t="s">
        <v>249</v>
      </c>
      <c r="D65">
        <v>971133</v>
      </c>
      <c r="E65" t="s">
        <v>250</v>
      </c>
      <c r="F65" t="s">
        <v>126</v>
      </c>
      <c r="G65" t="s">
        <v>250</v>
      </c>
    </row>
    <row r="66" spans="1:7" x14ac:dyDescent="0.3">
      <c r="A66">
        <v>65</v>
      </c>
      <c r="B66" t="s">
        <v>251</v>
      </c>
      <c r="C66" t="s">
        <v>252</v>
      </c>
      <c r="D66">
        <v>971025</v>
      </c>
      <c r="E66" t="s">
        <v>253</v>
      </c>
      <c r="F66" t="s">
        <v>254</v>
      </c>
      <c r="G66" t="s">
        <v>253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1:H6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2026-06-04T03:35:04Z</dcterms:modified>
</cp:coreProperties>
</file>