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A49D9443-2C54-4FA1-9D39-920FCA4B8D7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<sst xmlns="http://schemas.openxmlformats.org/spreadsheetml/2006/main" count="356" uniqueCount="258">
  <si>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</si>
  <si>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</si>
  <si>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</si>
  <si>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</si>
  <si>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</si>
  <si>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</si>
  <si>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</si>
  <si>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</si>
  <si>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</si>
  <si>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</si>
  <si>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</si>
  <si>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</si>
  <si>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</si>
  <si>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</si>
  <si>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</si>
  <si>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</si>
  <si>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</si>
  <si>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</si>
  <si>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</si>
  <si>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</si>
  <si>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</si>
  <si>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</si>
  <si>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</si>
  <si>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</si>
  <si>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</si>
  <si>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</si>
  <si>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</si>
  <si>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</si>
  <si>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</si>
  <si>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</si>
  <si>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</si>
  <si>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</si>
  <si>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</si>
  <si>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</si>
  <si>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</si>
  <si>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</si>
  <si>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</si>
  <si>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</si>
  <si>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</si>
  <si>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</si>
  <si>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</si>
  <si>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</si>
  <si>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</si>
  <si>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</si>
  <si>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</si>
  <si>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</si>
  <si>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</si>
  <si>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</si>
  <si>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</si>
  <si>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</si>
  <si>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</si>
  <si>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</si>
  <si>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</si>
  <si>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</si>
  <si>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</si>
  <si>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</si>
  <si>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</si>
  <si>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</si>
  <si>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</si>
  <si>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</si>
  <si>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</si>
  <si>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</si>
  <si>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</si>
  <si>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</si>
  <si>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</si>
  <si>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</si>
  <si>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</si>
  <si>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</si>
  <si>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</si>
  <si>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</si>
  <si>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</si>
  <si>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</si>
  <si>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</si>
  <si>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</si>
  <si>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</si>
  <si>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</si>
  <si>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</si>
  <si>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</si>
  <si>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</si>
  <si>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</si>
  <si>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</si>
  <si>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</si>
  <si>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</si>
  <si>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</si>
  <si>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</si>
  <si>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</si>
  <si>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</si>
  <si>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</si>
  <si>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</si>
  <si>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</si>
  <si>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</si>
  <si>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</si>
  <si>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</si>
  <si>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</si>
  <si>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</si>
  <si>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</si>
  <si>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</si>
  <si>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</si>
  <si>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</si>
  <si>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</si>
  <si>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</si>
  <si>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</si>
  <si>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</si>
  <si>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</si>
  <si>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</si>
  <si>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</si>
  <si>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</si>
  <si>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</si>
  <si>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</si>
  <si>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</si>
  <si>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</si>
  <si>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</si>
  <si>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</si>
  <si>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</si>
  <si>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</si>
  <si>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</si>
  <si>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</si>
  <si>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</si>
  <si>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</si>
  <si>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</si>
  <si>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</si>
  <si>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</si>
  <si>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</si>
  <si>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</si>
  <si>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</si>
  <si>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</si>
  <si>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</si>
  <si>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</si>
  <si>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</si>
  <si>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</si>
  <si>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</si>
  <si>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</si>
  <si>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</si>
  <si>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</si>
  <si>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</si>
  <si>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</si>
  <si>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</si>
  <si>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</si>
  <si>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</si>
  <si>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</si>
  <si>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</si>
  <si>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</si>
  <si>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</si>
  <si>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</si>
  <si>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</si>
  <si>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</si>
  <si>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</si>
  <si>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</si>
  <si>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</si>
  <si>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</si>
  <si>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</si>
  <si>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</si>
  <si>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</si>
  <si>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</si>
  <si>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</si>
  <si>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</si>
  <si>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</si>
  <si>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</si>
  <si>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</si>
  <si>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</si>
  <si>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</si>
  <si>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</si>
  <si>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</si>
  <si>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</si>
  <si>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</si>
  <si>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</si>
  <si>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</si>
  <si>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</si>
  <si>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</si>
  <si>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</si>
  <si>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</si>
  <si>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</si>
  <si>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</si>
  <si>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</si>
  <si>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</si>
  <si>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</si>
  <si>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</si>
  <si>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</si>
  <si>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</si>
  <si>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</si>
  <si>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</si>
  <si>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</si>
  <si>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</si>
  <si>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</si>
  <si>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</si>
  <si>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</si>
  <si>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</si>
  <si>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</si>
  <si>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</si>
  <si>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</si>
  <si>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</si>
  <si>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</si>
  <si>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</si>
  <si>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</si>
  <si>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</si>
  <si>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</si>
  <si>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</si>
  <si>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</si>
  <si>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</si>
  <si>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</si>
  <si>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</si>
  <si>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</si>
  <si>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</si>
  <si>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</si>
  <si>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</si>
  <si>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</si>
  <si>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</si>
  <si>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</si>
  <si>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</si>
  <si>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</si>
  <si>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</si>
  <si>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</si>
  <si>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</si>
  <si>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</si>
  <si>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</si>
  <si>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</si>
  <si>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</si>
  <si>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</si>
  <si>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</si>
  <si>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</si>
  <si>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</si>
  <si>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</si>
  <si>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</si>
  <si>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</si>
  <si>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</si>
  <si>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</si>
  <si>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</si>
  <si>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</si>
  <si>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</si>
  <si>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</si>
  <si>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</si>
  <si>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</si>
  <si>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</si>
  <si>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</si>
  <si>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</si>
  <si>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</si>
  <si>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</si>
  <si>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</si>
  <si>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</si>
  <si>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</si>
  <si>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</si>
  <si>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</si>
  <si>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</si>
  <si>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</si>
  <si>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</si>
  <si>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</si>
  <si>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</si>
  <si>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</si>
  <si>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</si>
  <si>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</si>
  <si>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</si>
  <si>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</si>
  <si>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</si>
  <si>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</si>
  <si>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</si>
  <si>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</si>
  <si>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052004</t>
  </si>
  <si>
    <t>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</si>
</sst>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0" fillId="0" borderId="0" xfId="0" quotePrefix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B16" sqref="B16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C2" s="1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C3" s="2">
        <v>1031451081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C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C5" s="1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45</v>
      </c>
      <c r="C6" s="1" t="s">
        <v>256</v>
      </c>
      <c r="D6" t="s">
        <v>10</v>
      </c>
      <c r="E6" t="str">
        <f>IFERROR((VLOOKUP(A6,'API - io'!$A:$H,5,0)),"-")</f>
        <v>VIB</v>
      </c>
      <c r="F6" t="str">
        <f>IFERROR((VLOOKUP(A6,'API - io'!$A:$H,3,0)),"-")</f>
        <v>VIB</v>
      </c>
      <c r="G6">
        <f>IFERROR((VLOOKUP(A6,'API - io'!$A:$G,4,0)),"-")</f>
        <v>970441</v>
      </c>
      <c r="H6" t="str">
        <f>IFERROR((VLOOKUP(A6,'API - io'!$A:$G,5,0)),"-")</f>
        <v>VIB</v>
      </c>
      <c r="I6" t="str">
        <f>IFERROR((VLOOKUP(A6,'API - io'!$A:$G,6,0)),"-")</f>
        <v>https://cdn.vietqr.io/img/VIB.png</v>
      </c>
      <c r="J6" t="str">
        <f>IFERROR((VLOOKUP(A6,'API - io'!$A:$G,7,0)),"-")</f>
        <v>VIB</v>
      </c>
    </row>
    <row r="7" spans="1:10" x14ac:dyDescent="0.3">
      <c r="C7" s="1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43" workbookViewId="0">
      <selection activeCell="C44" sqref="C44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257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2026-06-04T05:55:01Z</dcterms:modified>
</cp:coreProperties>
</file>