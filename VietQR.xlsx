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52107831-0D37-4EF5-ACDF-90811C10E001}" xr6:coauthVersionLast="47" xr6:coauthVersionMax="47" xr10:uidLastSave="{00000000-0000-0000-0000-000000000000}"/>
  <bookViews>
    <workbookView xWindow="4212" yWindow="3396" windowWidth="17280" windowHeight="8964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<sst xmlns="http://schemas.openxmlformats.org/spreadsheetml/2006/main" count="364" uniqueCount="265">
  <si>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</si>
  <si>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</si>
  <si>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</si>
  <si>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</si>
  <si>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</si>
  <si>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</si>
  <si>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</si>
  <si>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</si>
  <si>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</si>
  <si>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</si>
  <si>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</si>
  <si>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</si>
  <si>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</si>
  <si>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</si>
  <si>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</si>
  <si>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</si>
  <si>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</si>
  <si>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</si>
  <si>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</si>
  <si>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</si>
  <si>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</si>
  <si>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</si>
  <si>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</si>
  <si>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</si>
  <si>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</si>
  <si>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</si>
  <si>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</si>
  <si>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</si>
  <si>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</si>
  <si>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</si>
  <si>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</si>
  <si>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</si>
  <si>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</si>
  <si>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</si>
  <si>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</si>
  <si>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</si>
  <si>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</si>
  <si>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</si>
  <si>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</si>
  <si>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</si>
  <si>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</si>
  <si>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</si>
  <si>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</si>
  <si>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</si>
  <si>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</si>
  <si>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</si>
  <si>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</si>
  <si>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</si>
  <si>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</si>
  <si>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</si>
  <si>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</si>
  <si>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</si>
  <si>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</si>
  <si>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</si>
  <si>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</si>
  <si>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</si>
  <si>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</si>
  <si>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</si>
  <si>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</si>
  <si>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</si>
  <si>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</si>
  <si>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</si>
  <si>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</si>
  <si>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</si>
  <si>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</si>
  <si>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</si>
  <si>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</si>
  <si>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</si>
  <si>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</si>
  <si>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</si>
  <si>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</si>
  <si>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</si>
  <si>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</si>
  <si>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</si>
  <si>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</si>
  <si>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</si>
  <si>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</si>
  <si>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</si>
  <si>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</si>
  <si>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</si>
  <si>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</si>
  <si>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</si>
  <si>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</si>
  <si>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</si>
  <si>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</si>
  <si>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</si>
  <si>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</si>
  <si>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</si>
  <si>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</si>
  <si>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</si>
  <si>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</si>
  <si>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</si>
  <si>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</si>
  <si>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</si>
  <si>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</si>
  <si>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</si>
  <si>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</si>
  <si>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</si>
  <si>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</si>
  <si>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</si>
  <si>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</si>
  <si>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</si>
  <si>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</si>
  <si>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</si>
  <si>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</si>
  <si>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</si>
  <si>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</si>
  <si>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</si>
  <si>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</si>
  <si>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</si>
  <si>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</si>
  <si>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</si>
  <si>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</si>
  <si>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</si>
  <si>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</si>
  <si>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</si>
  <si>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</si>
  <si>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</si>
  <si>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</si>
  <si>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</si>
  <si>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</si>
  <si>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</si>
  <si>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</si>
  <si>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</si>
  <si>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</si>
  <si>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</si>
  <si>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</si>
  <si>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</si>
  <si>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</si>
  <si>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</si>
  <si>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</si>
  <si>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</si>
  <si>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</si>
  <si>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</si>
  <si>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</si>
  <si>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</si>
  <si>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</si>
  <si>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</si>
  <si>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</si>
  <si>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</si>
  <si>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</si>
  <si>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</si>
  <si>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</si>
  <si>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</si>
  <si>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</si>
  <si>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</si>
  <si>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</si>
  <si>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</si>
  <si>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</si>
  <si>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</si>
  <si>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</si>
  <si>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</si>
  <si>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</si>
  <si>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</si>
  <si>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</si>
  <si>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</si>
  <si>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</si>
  <si>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</si>
  <si>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</si>
  <si>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</si>
  <si>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</si>
  <si>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</si>
  <si>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</si>
  <si>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</si>
  <si>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</si>
  <si>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</si>
  <si>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</si>
  <si>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</si>
  <si>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</si>
  <si>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</si>
  <si>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</si>
  <si>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</si>
  <si>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</si>
  <si>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</si>
  <si>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</si>
  <si>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</si>
  <si>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</si>
  <si>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</si>
  <si>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</si>
  <si>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</si>
  <si>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</si>
  <si>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</si>
  <si>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</si>
  <si>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</si>
  <si>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</si>
  <si>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</si>
  <si>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</si>
  <si>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</si>
  <si>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</si>
  <si>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</si>
  <si>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</si>
  <si>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</si>
  <si>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</si>
  <si>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</si>
  <si>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</si>
  <si>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</si>
  <si>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</si>
  <si>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</si>
  <si>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</si>
  <si>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</si>
  <si>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</si>
  <si>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</si>
  <si>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</si>
  <si>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</si>
  <si>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</si>
  <si>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</si>
  <si>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</si>
  <si>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</si>
  <si>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</si>
  <si>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</si>
  <si>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</si>
  <si>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</si>
  <si>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</si>
  <si>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</si>
  <si>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</si>
  <si>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</si>
  <si>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</si>
  <si>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</si>
  <si>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</si>
  <si>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</si>
  <si>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</si>
  <si>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</si>
  <si>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</si>
  <si>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</si>
  <si>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</si>
  <si>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</si>
  <si>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</si>
  <si>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</si>
  <si>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</si>
  <si>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</si>
  <si>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</si>
  <si>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</si>
  <si>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</si>
  <si>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</si>
  <si>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</si>
  <si>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</si>
  <si>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</si>
  <si>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</si>
  <si>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</si>
  <si>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</si>
  <si>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</si>
  <si>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</si>
  <si>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</si>
  <si>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</si>
  <si>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</si>
  <si>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</si>
  <si>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</si>
  <si>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</si>
  <si>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</si>
  <si>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</si>
  <si>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</si>
  <si>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</si>
  <si>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</si>
  <si>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</si>
  <si>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</si>
  <si>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</si>
  <si>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</si>
  <si>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</si>
  <si>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</si>
  <si>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</si>
  <si>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</si>
  <si>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</si>
  <si>
    <t>MoMo_Duy Khoi</t>
  </si>
  <si>
    <t>0865106459</t>
  </si>
  <si>
    <t>Phan Le Duy Khoi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</si>
</sst>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D7" sqref="D7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1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2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1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1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A7">
        <v>65</v>
      </c>
      <c r="B7" t="s">
        <v>262</v>
      </c>
      <c r="C7" s="1" t="s">
        <v>263</v>
      </c>
      <c r="D7" t="s">
        <v>264</v>
      </c>
      <c r="E7" t="str">
        <f>IFERROR((VLOOKUP(A7,'API - io'!$A:$H,5,0)),"-")</f>
        <v>MoMo</v>
      </c>
      <c r="F7" t="str">
        <f>IFERROR((VLOOKUP(A7,'API - io'!$A:$H,3,0)),"-")</f>
        <v>momo</v>
      </c>
      <c r="G7">
        <f>IFERROR((VLOOKUP(A7,'API - io'!$A:$G,4,0)),"-")</f>
        <v>971025</v>
      </c>
      <c r="H7" t="str">
        <f>IFERROR((VLOOKUP(A7,'API - io'!$A:$G,5,0)),"-")</f>
        <v>MoMo</v>
      </c>
      <c r="I7" t="str">
        <f>IFERROR((VLOOKUP(A7,'API - io'!$A:$G,6,0)),"-")</f>
        <v>https://cdn.vietqr.io/img/momo.png</v>
      </c>
      <c r="J7" t="str">
        <f>IFERROR((VLOOKUP(A7,'API - io'!$A:$G,7,0)),"-")</f>
        <v>MoMo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43" workbookViewId="0">
      <selection activeCell="C44" sqref="C44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2026-06-05T14:13:05Z</dcterms:modified>
</cp:coreProperties>
</file>