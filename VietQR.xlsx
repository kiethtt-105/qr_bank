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87D8C712-920B-42F7-A0C8-3778E92A4BA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<sst xmlns="http://schemas.openxmlformats.org/spreadsheetml/2006/main" count="362" uniqueCount="265">
  <si>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</si>
  <si>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</si>
  <si>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</si>
  <si>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</si>
  <si>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</si>
  <si>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</si>
  <si>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</si>
  <si>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</si>
  <si>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</si>
  <si>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</si>
  <si>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</si>
  <si>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</si>
  <si>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</si>
  <si>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</si>
  <si>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</si>
  <si>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</si>
  <si>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</si>
  <si>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</si>
  <si>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</si>
  <si>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</si>
  <si>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</si>
  <si>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</si>
  <si>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</si>
  <si>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</si>
  <si>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</si>
  <si>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</si>
  <si>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</si>
  <si>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</si>
  <si>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</si>
  <si>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</si>
  <si>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</si>
  <si>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</si>
  <si>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</si>
  <si>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</si>
  <si>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</si>
  <si>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</si>
  <si>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</si>
  <si>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</si>
  <si>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</si>
  <si>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</si>
  <si>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</si>
  <si>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</si>
  <si>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</si>
  <si>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</si>
  <si>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</si>
  <si>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</si>
  <si>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</si>
  <si>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</si>
  <si>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</si>
  <si>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</si>
  <si>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</si>
  <si>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</si>
  <si>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</si>
  <si>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</si>
  <si>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</si>
  <si>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</si>
  <si>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</si>
  <si>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</si>
  <si>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</si>
  <si>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</si>
  <si>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</si>
  <si>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</si>
  <si>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</si>
  <si>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</si>
  <si>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</si>
  <si>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</si>
  <si>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</si>
  <si>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</si>
  <si>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</si>
  <si>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</si>
  <si>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</si>
  <si>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</si>
  <si>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</si>
  <si>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</si>
  <si>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</si>
  <si>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</si>
  <si>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</si>
  <si>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</si>
  <si>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</si>
  <si>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</si>
  <si>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</si>
  <si>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</si>
  <si>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</si>
  <si>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</si>
  <si>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</si>
  <si>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</si>
  <si>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</si>
  <si>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</si>
  <si>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</si>
  <si>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</si>
  <si>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</si>
  <si>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</si>
  <si>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</si>
  <si>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</si>
  <si>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</si>
  <si>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</si>
  <si>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</si>
  <si>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</si>
  <si>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</si>
  <si>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</si>
  <si>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</si>
  <si>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</si>
  <si>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</si>
  <si>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</si>
  <si>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</si>
  <si>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</si>
  <si>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</si>
  <si>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</si>
  <si>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</si>
  <si>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</si>
  <si>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</si>
  <si>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</si>
  <si>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</si>
  <si>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</si>
  <si>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</si>
  <si>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</si>
  <si>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</si>
  <si>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</si>
  <si>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</si>
  <si>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</si>
  <si>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</si>
  <si>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</si>
  <si>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</si>
  <si>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</si>
  <si>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</si>
  <si>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</si>
  <si>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</si>
  <si>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</si>
  <si>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</si>
  <si>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</si>
  <si>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</si>
  <si>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</si>
  <si>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</si>
  <si>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</si>
  <si>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</si>
  <si>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</si>
  <si>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</si>
  <si>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</si>
  <si>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</si>
  <si>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</si>
  <si>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</si>
  <si>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</si>
  <si>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</si>
  <si>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</si>
  <si>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</si>
  <si>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</si>
  <si>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</si>
  <si>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</si>
  <si>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</si>
  <si>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</si>
  <si>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</si>
  <si>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</si>
  <si>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</si>
  <si>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</si>
  <si>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</si>
  <si>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</si>
  <si>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</si>
  <si>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</si>
  <si>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</si>
  <si>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</si>
  <si>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</si>
  <si>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</si>
  <si>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</si>
  <si>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</si>
  <si>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</si>
  <si>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</si>
  <si>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</si>
  <si>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</si>
  <si>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</si>
  <si>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</si>
  <si>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</si>
  <si>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</si>
  <si>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</si>
  <si>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</si>
  <si>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</si>
  <si>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</si>
  <si>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</si>
  <si>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</si>
  <si>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</si>
  <si>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</si>
  <si>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</si>
  <si>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</si>
  <si>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</si>
  <si>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</si>
  <si>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</si>
  <si>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</si>
  <si>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</si>
  <si>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</si>
  <si>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</si>
  <si>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</si>
  <si>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</si>
  <si>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</si>
  <si>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</si>
  <si>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</si>
  <si>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</si>
  <si>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</si>
  <si>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</si>
  <si>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</si>
  <si>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</si>
  <si>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</si>
  <si>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</si>
  <si>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</si>
  <si>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</si>
  <si>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</si>
  <si>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</si>
  <si>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</si>
  <si>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</si>
  <si>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</si>
  <si>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</si>
  <si>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</si>
  <si>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</si>
  <si>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</si>
  <si>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</si>
  <si>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</si>
  <si>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</si>
  <si>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</si>
  <si>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</si>
  <si>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</si>
  <si>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</si>
  <si>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</si>
  <si>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</si>
  <si>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</si>
  <si>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</si>
  <si>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</si>
  <si>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</si>
  <si>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</si>
  <si>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</si>
  <si>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</si>
  <si>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</si>
  <si>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</si>
  <si>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</si>
  <si>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</si>
  <si>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</si>
  <si>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</si>
  <si>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</si>
  <si>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</si>
  <si>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</si>
  <si>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</si>
  <si>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</si>
  <si>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</si>
  <si>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</si>
  <si>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</si>
  <si>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</si>
  <si>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</si>
  <si>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</si>
  <si>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</si>
  <si>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</si>
  <si>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</si>
  <si>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</si>
  <si>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</si>
  <si>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</si>
  <si>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</si>
  <si>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</si>
  <si>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</si>
  <si>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 -iPanDa</t>
  </si>
  <si>
    <t>MS00T09548691713297</t>
  </si>
  <si>
    <t>064933000</t>
  </si>
  <si>
    <t>052004</t>
  </si>
  <si>
    <t>Template</t>
  </si>
  <si>
    <t>TCB_999</t>
  </si>
  <si>
    <t>VIB_000</t>
  </si>
  <si>
    <t>VIB_004</t>
  </si>
  <si>
    <t>Green Cofee</t>
  </si>
  <si>
    <t>MOMO_IPA_HUYNHKIET</t>
  </si>
  <si>
    <t>PMC2605818000000089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</si>
</sst>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H20" sqref="H20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254</v>
      </c>
      <c r="C2" s="1" t="s">
        <v>255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259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260</v>
      </c>
      <c r="C4" s="1" t="s">
        <v>256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A5">
        <v>45</v>
      </c>
      <c r="B5" t="s">
        <v>261</v>
      </c>
      <c r="C5" s="1" t="s">
        <v>257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65</v>
      </c>
      <c r="B6" t="s">
        <v>262</v>
      </c>
      <c r="C6" s="1" t="s">
        <v>264</v>
      </c>
      <c r="D6" s="1" t="s">
        <v>263</v>
      </c>
      <c r="E6" t="str">
        <f>IFERROR((VLOOKUP(A6,'API - io'!$A:$H,5,0)),"-")</f>
        <v>MoMo</v>
      </c>
      <c r="F6" t="str">
        <f>IFERROR((VLOOKUP(A6,'API - io'!$A:$H,3,0)),"-")</f>
        <v>momo</v>
      </c>
      <c r="G6">
        <f>IFERROR((VLOOKUP(A6,'API - io'!$A:$G,4,0)),"-")</f>
        <v>971025</v>
      </c>
      <c r="H6" t="str">
        <f>IFERROR((VLOOKUP(A6,'API - io'!$A:$G,5,0)),"-")</f>
        <v>MoMo</v>
      </c>
      <c r="I6" t="str">
        <f>IFERROR((VLOOKUP(A6,'API - io'!$A:$G,6,0)),"-")</f>
        <v>https://cdn.vietqr.io/img/momo.png</v>
      </c>
      <c r="J6" t="str">
        <f>IFERROR((VLOOKUP(A6,'API - io'!$A:$G,7,0)),"-")</f>
        <v>MoMo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61" workbookViewId="0">
      <selection activeCell="B66" sqref="A66:XFD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258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2026-06-04T04:32:21Z</dcterms:modified>
</cp:coreProperties>
</file>