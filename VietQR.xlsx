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3F883C38-5559-4C49-A2BC-FC3F0596183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<sst xmlns="http://schemas.openxmlformats.org/spreadsheetml/2006/main" count="367" uniqueCount="267">
  <si>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</si>
  <si>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</si>
  <si>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</si>
  <si>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</si>
  <si>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</si>
  <si>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</si>
  <si>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</si>
  <si>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</si>
  <si>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</si>
  <si>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</si>
  <si>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</si>
  <si>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</si>
  <si>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</si>
  <si>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</si>
  <si>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</si>
  <si>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</si>
  <si>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</si>
  <si>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</si>
  <si>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</si>
  <si>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</si>
  <si>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</si>
  <si>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</si>
  <si>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</si>
  <si>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</si>
  <si>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</si>
  <si>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</si>
  <si>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</si>
  <si>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</si>
  <si>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</si>
  <si>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</si>
  <si>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</si>
  <si>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</si>
  <si>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</si>
  <si>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</si>
  <si>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</si>
  <si>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</si>
  <si>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</si>
  <si>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</si>
  <si>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</si>
  <si>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</si>
  <si>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</si>
  <si>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</si>
  <si>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</si>
  <si>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</si>
  <si>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</si>
  <si>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</si>
  <si>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</si>
  <si>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</si>
  <si>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</si>
  <si>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</si>
  <si>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</si>
  <si>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</si>
  <si>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</si>
  <si>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</si>
  <si>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</si>
  <si>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</si>
  <si>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</si>
  <si>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</si>
  <si>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</si>
  <si>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</si>
  <si>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</si>
  <si>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</si>
  <si>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</si>
  <si>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</si>
  <si>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</si>
  <si>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</si>
  <si>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</si>
  <si>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</si>
  <si>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</si>
  <si>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</si>
  <si>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</si>
  <si>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</si>
  <si>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</si>
  <si>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</si>
  <si>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</si>
  <si>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</si>
  <si>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</si>
  <si>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</si>
  <si>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</si>
  <si>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</si>
  <si>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</si>
  <si>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</si>
  <si>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</si>
  <si>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</si>
  <si>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</si>
  <si>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</si>
  <si>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</si>
  <si>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</si>
  <si>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</si>
  <si>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</si>
  <si>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</si>
  <si>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</si>
  <si>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</si>
  <si>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</si>
  <si>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</si>
  <si>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</si>
  <si>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</si>
  <si>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</si>
  <si>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</si>
  <si>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</si>
  <si>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</si>
  <si>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</si>
  <si>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</si>
  <si>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</si>
  <si>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</si>
  <si>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</si>
  <si>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</si>
  <si>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</si>
  <si>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</si>
  <si>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</si>
  <si>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</si>
  <si>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</si>
  <si>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</si>
  <si>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</si>
  <si>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</si>
  <si>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</si>
  <si>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</si>
  <si>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</si>
  <si>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</si>
  <si>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</si>
  <si>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</si>
  <si>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</si>
  <si>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</si>
  <si>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</si>
  <si>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</si>
  <si>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</si>
  <si>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</si>
  <si>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</si>
  <si>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</si>
  <si>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</si>
  <si>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</si>
  <si>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</si>
  <si>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</si>
  <si>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</si>
  <si>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</si>
  <si>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</si>
  <si>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</si>
  <si>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</si>
  <si>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</si>
  <si>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</si>
  <si>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</si>
  <si>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</si>
  <si>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</si>
  <si>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</si>
  <si>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</si>
  <si>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</si>
  <si>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</si>
  <si>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</si>
  <si>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</si>
  <si>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</si>
  <si>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</si>
  <si>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</si>
  <si>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</si>
  <si>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</si>
  <si>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</si>
  <si>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</si>
  <si>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</si>
  <si>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</si>
  <si>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</si>
  <si>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</si>
  <si>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</si>
  <si>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</si>
  <si>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</si>
  <si>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</si>
  <si>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</si>
  <si>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</si>
  <si>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</si>
  <si>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</si>
  <si>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</si>
  <si>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</si>
  <si>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</si>
  <si>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</si>
  <si>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</si>
  <si>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</si>
  <si>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</si>
  <si>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</si>
  <si>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</si>
  <si>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</si>
  <si>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</si>
  <si>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</si>
  <si>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</si>
  <si>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</si>
  <si>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</si>
  <si>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</si>
  <si>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</si>
  <si>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</si>
  <si>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</si>
  <si>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</si>
  <si>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</si>
  <si>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</si>
  <si>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</si>
  <si>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</si>
  <si>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</si>
  <si>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</si>
  <si>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</si>
  <si>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</si>
  <si>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</si>
  <si>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</si>
  <si>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</si>
  <si>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</si>
  <si>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</si>
  <si>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</si>
  <si>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</si>
  <si>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</si>
  <si>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</si>
  <si>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</si>
  <si>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</si>
  <si>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</si>
  <si>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</si>
  <si>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</si>
  <si>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</si>
  <si>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</si>
  <si>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</si>
  <si>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</si>
  <si>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</si>
  <si>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</si>
  <si>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</si>
  <si>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</si>
  <si>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</si>
  <si>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</si>
  <si>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</si>
  <si>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</si>
  <si>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</si>
  <si>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</si>
  <si>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</si>
  <si>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</si>
  <si>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</si>
  <si>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</si>
  <si>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</si>
  <si>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</si>
  <si>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</si>
  <si>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</si>
  <si>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</si>
  <si>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</si>
  <si>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</si>
  <si>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</si>
  <si>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</si>
  <si>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</si>
  <si>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</si>
  <si>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</si>
  <si>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</si>
  <si>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</si>
  <si>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</si>
  <si>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</si>
  <si>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</si>
  <si>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</si>
  <si>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</si>
  <si>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</si>
  <si>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</si>
  <si>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</si>
  <si>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</si>
  <si>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</si>
  <si>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</si>
  <si>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</si>
  <si>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</si>
  <si>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</si>
  <si>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052004</t>
  </si>
  <si>
    <t>Template</t>
  </si>
  <si>
    <t>iPA</t>
  </si>
  <si>
    <t>Tech - 999</t>
  </si>
  <si>
    <t>VIB - 000</t>
  </si>
  <si>
    <t>VIB - 004</t>
  </si>
  <si>
    <t>MoMo_Duy Khoi</t>
  </si>
  <si>
    <t>0865106459</t>
  </si>
  <si>
    <t>Phan Le Duy Khoi</t>
  </si>
  <si>
    <t>Viettel Money</t>
  </si>
  <si>
    <t>9704229201938100000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</si>
</sst>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C17" sqref="C17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258</v>
      </c>
      <c r="C2" s="2" t="s">
        <v>254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 s="3">
        <v>1031451081</v>
      </c>
      <c r="D3" t="s">
        <v>10</v>
      </c>
      <c r="E3" t="str">
        <f>IFERROR((VLOOKUP(A3,'API - io'!$A:$H,5,0)),"-")</f>
        <v>Vietcombank</v>
      </c>
      <c r="F3" t="str">
        <f>IFERROR((VLOOKUP(A3,'API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38</v>
      </c>
      <c r="B4" t="s">
        <v>259</v>
      </c>
      <c r="C4" s="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260</v>
      </c>
      <c r="C5" s="2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45</v>
      </c>
      <c r="B6" t="s">
        <v>261</v>
      </c>
      <c r="C6" s="2" t="s">
        <v>256</v>
      </c>
      <c r="D6" t="s">
        <v>10</v>
      </c>
      <c r="E6" t="str">
        <f>IFERROR((VLOOKUP(A6,'API - io'!$A:$H,5,0)),"-")</f>
        <v>VIB</v>
      </c>
      <c r="F6" t="str">
        <f>IFERROR((VLOOKUP(A6,'API - io'!$A:$H,3,0)),"-")</f>
        <v>VIB</v>
      </c>
      <c r="G6">
        <f>IFERROR((VLOOKUP(A6,'API - io'!$A:$G,4,0)),"-")</f>
        <v>970441</v>
      </c>
      <c r="H6" t="str">
        <f>IFERROR((VLOOKUP(A6,'API - io'!$A:$G,5,0)),"-")</f>
        <v>VIB</v>
      </c>
      <c r="I6" t="str">
        <f>IFERROR((VLOOKUP(A6,'API - io'!$A:$G,6,0)),"-")</f>
        <v>https://cdn.vietqr.io/img/VIB.png</v>
      </c>
      <c r="J6" t="str">
        <f>IFERROR((VLOOKUP(A6,'API - io'!$A:$G,7,0)),"-")</f>
        <v>VIB</v>
      </c>
    </row>
    <row r="7" spans="1:10" x14ac:dyDescent="0.3">
      <c r="C7" s="2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A8">
        <v>21</v>
      </c>
      <c r="B8" t="s">
        <v>265</v>
      </c>
      <c r="C8" s="2" t="s">
        <v>266</v>
      </c>
      <c r="D8" t="s">
        <v>10</v>
      </c>
      <c r="E8" t="str">
        <f>IFERROR((VLOOKUP(A8,'API - io'!$A:$H,5,0)),"-")</f>
        <v>MBBank</v>
      </c>
      <c r="F8" t="str">
        <f>IFERROR((VLOOKUP(A8,'API - io'!$A:$H,3,0)),"-")</f>
        <v>MB</v>
      </c>
      <c r="G8">
        <f>IFERROR((VLOOKUP(A8,'API - io'!$A:$G,4,0)),"-")</f>
        <v>970422</v>
      </c>
      <c r="H8" t="str">
        <f>IFERROR((VLOOKUP(A8,'API - io'!$A:$G,5,0)),"-")</f>
        <v>MBBank</v>
      </c>
      <c r="I8" t="str">
        <f>IFERROR((VLOOKUP(A8,'API - io'!$A:$G,6,0)),"-")</f>
        <v>https://cdn.vietqr.io/img/MB.png</v>
      </c>
      <c r="J8" t="str">
        <f>IFERROR((VLOOKUP(A8,'API - io'!$A:$G,7,0)),"-")</f>
        <v>MBBank</v>
      </c>
    </row>
    <row r="9" spans="1:10" x14ac:dyDescent="0.3">
      <c r="C9" s="4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4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A11">
        <v>65</v>
      </c>
      <c r="B11" t="s">
        <v>262</v>
      </c>
      <c r="C11" s="2" t="s">
        <v>263</v>
      </c>
      <c r="D11" t="s">
        <v>264</v>
      </c>
      <c r="E11" t="str">
        <f>IFERROR((VLOOKUP(A11,'API - io'!$A:$H,5,0)),"-")</f>
        <v>MoMo</v>
      </c>
      <c r="F11" t="str">
        <f>IFERROR((VLOOKUP(A11,'API - io'!$A:$H,3,0)),"-")</f>
        <v>momo</v>
      </c>
      <c r="G11">
        <f>IFERROR((VLOOKUP(A11,'API - io'!$A:$G,4,0)),"-")</f>
        <v>971025</v>
      </c>
      <c r="H11" t="str">
        <f>IFERROR((VLOOKUP(A11,'API - io'!$A:$G,5,0)),"-")</f>
        <v>MoMo</v>
      </c>
      <c r="I11" t="str">
        <f>IFERROR((VLOOKUP(A11,'API - io'!$A:$G,6,0)),"-")</f>
        <v>https://cdn.vietqr.io/img/momo.png</v>
      </c>
      <c r="J11" t="str">
        <f>IFERROR((VLOOKUP(A11,'API - io'!$A:$G,7,0)),"-")</f>
        <v>MoMo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15" workbookViewId="0">
      <selection activeCell="C22" sqref="C22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257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2026-06-05T14:31:32Z</dcterms:modified>
</cp:coreProperties>
</file>