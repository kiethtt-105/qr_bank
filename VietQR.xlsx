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\qr_bank\"/>
    </mc:Choice>
  </mc:AlternateContent>
  <xr:revisionPtr revIDLastSave="0" documentId="13_ncr:1_{6125F57C-E4AF-4425-9F82-72384BB1E79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et_qr_Gsheet" sheetId="1" r:id="rId1"/>
    <sheet name="List_bank" sheetId="4" r:id="rId2"/>
    <sheet name="API - 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I6" i="4"/>
  <c r="H6" i="4"/>
  <c r="G6" i="4"/>
  <c r="F6" i="4"/>
  <c r="E6" i="4"/>
  <c r="B6" i="4"/>
  <c r="J5" i="4"/>
  <c r="I5" i="4"/>
  <c r="H5" i="4"/>
  <c r="G5" i="4"/>
  <c r="F5" i="4"/>
  <c r="E5" i="4"/>
  <c r="B5" i="4"/>
  <c r="J4" i="4"/>
  <c r="I4" i="4"/>
  <c r="H4" i="4"/>
  <c r="G4" i="4"/>
  <c r="F4" i="4"/>
  <c r="E4" i="4"/>
  <c r="B4" i="4"/>
  <c r="J3" i="4"/>
  <c r="I3" i="4"/>
  <c r="H3" i="4"/>
  <c r="G3" i="4"/>
  <c r="F3" i="4"/>
  <c r="E3" i="4"/>
  <c r="B3" i="4"/>
  <c r="J2" i="4"/>
  <c r="I2" i="4"/>
  <c r="H2" i="4"/>
  <c r="G2" i="4"/>
  <c r="F2" i="4"/>
  <c r="E2" i="4"/>
  <c r="B2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G88" i="4"/>
  <c r="A25" i="1"/>
  <c r="A8" i="1"/>
  <c r="A7" i="1"/>
  <c r="A6" i="1"/>
  <c r="B3" i="1" l="1"/>
  <c r="I8" i="4"/>
  <c r="J8" i="4"/>
  <c r="G8" i="4"/>
  <c r="G58" i="4"/>
  <c r="G82" i="4"/>
  <c r="G70" i="4"/>
  <c r="I34" i="4"/>
  <c r="J34" i="4"/>
  <c r="H34" i="4"/>
  <c r="G34" i="4"/>
  <c r="I22" i="4"/>
  <c r="H22" i="4"/>
  <c r="J22" i="4"/>
  <c r="G22" i="4"/>
  <c r="H69" i="4"/>
  <c r="G69" i="4"/>
  <c r="J69" i="4"/>
  <c r="I69" i="4"/>
  <c r="G33" i="4"/>
  <c r="I33" i="4"/>
  <c r="J33" i="4"/>
  <c r="H33" i="4"/>
  <c r="G92" i="4"/>
  <c r="G56" i="4"/>
  <c r="I44" i="4"/>
  <c r="J44" i="4"/>
  <c r="G76" i="4"/>
  <c r="G64" i="4"/>
  <c r="I52" i="4"/>
  <c r="I40" i="4"/>
  <c r="J40" i="4"/>
  <c r="H40" i="4"/>
  <c r="G40" i="4"/>
  <c r="I28" i="4"/>
  <c r="J28" i="4"/>
  <c r="I16" i="4"/>
  <c r="G68" i="4"/>
  <c r="I20" i="4"/>
  <c r="J20" i="4"/>
  <c r="H20" i="4"/>
  <c r="G20" i="4"/>
  <c r="H99" i="4"/>
  <c r="G99" i="4"/>
  <c r="J99" i="4"/>
  <c r="I99" i="4"/>
  <c r="J87" i="4"/>
  <c r="G87" i="4"/>
  <c r="H87" i="4"/>
  <c r="J75" i="4"/>
  <c r="I75" i="4"/>
  <c r="H75" i="4"/>
  <c r="J63" i="4"/>
  <c r="I63" i="4"/>
  <c r="H63" i="4"/>
  <c r="G63" i="4"/>
  <c r="G51" i="4"/>
  <c r="J51" i="4"/>
  <c r="H51" i="4"/>
  <c r="I51" i="4"/>
  <c r="J39" i="4"/>
  <c r="I39" i="4"/>
  <c r="G39" i="4"/>
  <c r="H39" i="4"/>
  <c r="H27" i="4"/>
  <c r="G27" i="4"/>
  <c r="I27" i="4"/>
  <c r="J27" i="4"/>
  <c r="G15" i="4"/>
  <c r="J15" i="4"/>
  <c r="I15" i="4"/>
  <c r="H15" i="4"/>
  <c r="G94" i="4"/>
  <c r="I46" i="4"/>
  <c r="J46" i="4"/>
  <c r="H46" i="4"/>
  <c r="G46" i="4"/>
  <c r="I10" i="4"/>
  <c r="G10" i="4"/>
  <c r="J10" i="4"/>
  <c r="H10" i="4"/>
  <c r="H81" i="4"/>
  <c r="I57" i="4"/>
  <c r="H57" i="4"/>
  <c r="I21" i="4"/>
  <c r="I32" i="4"/>
  <c r="J32" i="4"/>
  <c r="H32" i="4"/>
  <c r="G32" i="4"/>
  <c r="G98" i="4"/>
  <c r="G86" i="4"/>
  <c r="G74" i="4"/>
  <c r="G62" i="4"/>
  <c r="I50" i="4"/>
  <c r="J50" i="4"/>
  <c r="H50" i="4"/>
  <c r="G50" i="4"/>
  <c r="I38" i="4"/>
  <c r="H38" i="4"/>
  <c r="G38" i="4"/>
  <c r="J38" i="4"/>
  <c r="I26" i="4"/>
  <c r="J26" i="4"/>
  <c r="H26" i="4"/>
  <c r="G26" i="4"/>
  <c r="I14" i="4"/>
  <c r="J14" i="4"/>
  <c r="H14" i="4"/>
  <c r="G14" i="4"/>
  <c r="H61" i="4"/>
  <c r="J61" i="4"/>
  <c r="I61" i="4"/>
  <c r="G61" i="4"/>
  <c r="H101" i="4"/>
  <c r="G101" i="4"/>
  <c r="I101" i="4"/>
  <c r="J101" i="4"/>
  <c r="G91" i="4"/>
  <c r="H91" i="4"/>
  <c r="I91" i="4"/>
  <c r="J91" i="4"/>
  <c r="J60" i="4"/>
  <c r="I60" i="4"/>
  <c r="H60" i="4"/>
  <c r="G60" i="4"/>
  <c r="J29" i="4"/>
  <c r="I29" i="4"/>
  <c r="H29" i="4"/>
  <c r="G29" i="4"/>
  <c r="G19" i="4"/>
  <c r="J19" i="4"/>
  <c r="H19" i="4"/>
  <c r="I19" i="4"/>
  <c r="J71" i="4"/>
  <c r="I71" i="4"/>
  <c r="H71" i="4"/>
  <c r="G71" i="4"/>
  <c r="J90" i="4"/>
  <c r="I90" i="4"/>
  <c r="H90" i="4"/>
  <c r="G90" i="4"/>
  <c r="J59" i="4"/>
  <c r="I59" i="4"/>
  <c r="H59" i="4"/>
  <c r="G59" i="4"/>
  <c r="H49" i="4"/>
  <c r="G49" i="4"/>
  <c r="J49" i="4"/>
  <c r="I49" i="4"/>
  <c r="I18" i="4"/>
  <c r="H18" i="4"/>
  <c r="G18" i="4"/>
  <c r="J18" i="4"/>
  <c r="J72" i="4"/>
  <c r="I72" i="4"/>
  <c r="H72" i="4"/>
  <c r="G72" i="4"/>
  <c r="J89" i="4"/>
  <c r="G89" i="4"/>
  <c r="I89" i="4"/>
  <c r="H89" i="4"/>
  <c r="I48" i="4"/>
  <c r="J48" i="4"/>
  <c r="H48" i="4"/>
  <c r="G48" i="4"/>
  <c r="J17" i="4"/>
  <c r="I17" i="4"/>
  <c r="H17" i="4"/>
  <c r="G17" i="4"/>
  <c r="G7" i="4"/>
  <c r="J7" i="4"/>
  <c r="H7" i="4"/>
  <c r="I7" i="4"/>
  <c r="J78" i="4"/>
  <c r="I78" i="4"/>
  <c r="H78" i="4"/>
  <c r="G78" i="4"/>
  <c r="G47" i="4"/>
  <c r="H47" i="4"/>
  <c r="J47" i="4"/>
  <c r="I47" i="4"/>
  <c r="H37" i="4"/>
  <c r="G37" i="4"/>
  <c r="I37" i="4"/>
  <c r="J37" i="4"/>
  <c r="J41" i="4"/>
  <c r="I41" i="4"/>
  <c r="H41" i="4"/>
  <c r="G41" i="4"/>
  <c r="I30" i="4"/>
  <c r="G30" i="4"/>
  <c r="H30" i="4"/>
  <c r="J30" i="4"/>
  <c r="J77" i="4"/>
  <c r="I77" i="4"/>
  <c r="H77" i="4"/>
  <c r="G77" i="4"/>
  <c r="H67" i="4"/>
  <c r="J67" i="4"/>
  <c r="I67" i="4"/>
  <c r="G67" i="4"/>
  <c r="I36" i="4"/>
  <c r="J36" i="4"/>
  <c r="H36" i="4"/>
  <c r="G36" i="4"/>
  <c r="J97" i="4"/>
  <c r="I97" i="4"/>
  <c r="H97" i="4"/>
  <c r="G97" i="4"/>
  <c r="J66" i="4"/>
  <c r="I66" i="4"/>
  <c r="H66" i="4"/>
  <c r="G66" i="4"/>
  <c r="G35" i="4"/>
  <c r="J35" i="4"/>
  <c r="I35" i="4"/>
  <c r="H35" i="4"/>
  <c r="H25" i="4"/>
  <c r="I25" i="4"/>
  <c r="G25" i="4"/>
  <c r="J25" i="4"/>
  <c r="J79" i="4"/>
  <c r="H79" i="4"/>
  <c r="I79" i="4"/>
  <c r="G79" i="4"/>
  <c r="J96" i="4"/>
  <c r="I96" i="4"/>
  <c r="H96" i="4"/>
  <c r="G96" i="4"/>
  <c r="J65" i="4"/>
  <c r="I65" i="4"/>
  <c r="H65" i="4"/>
  <c r="G65" i="4"/>
  <c r="H55" i="4"/>
  <c r="J55" i="4"/>
  <c r="I55" i="4"/>
  <c r="G55" i="4"/>
  <c r="I24" i="4"/>
  <c r="J24" i="4"/>
  <c r="H24" i="4"/>
  <c r="G24" i="4"/>
  <c r="J54" i="4"/>
  <c r="I54" i="4"/>
  <c r="G54" i="4"/>
  <c r="H54" i="4"/>
  <c r="G23" i="4"/>
  <c r="H23" i="4"/>
  <c r="J23" i="4"/>
  <c r="I23" i="4"/>
  <c r="H13" i="4"/>
  <c r="G13" i="4"/>
  <c r="I13" i="4"/>
  <c r="J13" i="4"/>
  <c r="J31" i="4"/>
  <c r="I31" i="4"/>
  <c r="H31" i="4"/>
  <c r="G31" i="4"/>
  <c r="J95" i="4"/>
  <c r="I95" i="4"/>
  <c r="G95" i="4"/>
  <c r="H95" i="4"/>
  <c r="J84" i="4"/>
  <c r="I84" i="4"/>
  <c r="H84" i="4"/>
  <c r="G84" i="4"/>
  <c r="J53" i="4"/>
  <c r="I53" i="4"/>
  <c r="H53" i="4"/>
  <c r="G53" i="4"/>
  <c r="J43" i="4"/>
  <c r="I43" i="4"/>
  <c r="G43" i="4"/>
  <c r="H43" i="4"/>
  <c r="I12" i="4"/>
  <c r="J12" i="4"/>
  <c r="H12" i="4"/>
  <c r="G12" i="4"/>
  <c r="I85" i="4"/>
  <c r="J85" i="4"/>
  <c r="H85" i="4"/>
  <c r="G85" i="4"/>
  <c r="J83" i="4"/>
  <c r="I83" i="4"/>
  <c r="H83" i="4"/>
  <c r="G83" i="4"/>
  <c r="H73" i="4"/>
  <c r="J73" i="4"/>
  <c r="I73" i="4"/>
  <c r="G73" i="4"/>
  <c r="I42" i="4"/>
  <c r="G42" i="4"/>
  <c r="H42" i="4"/>
  <c r="J42" i="4"/>
  <c r="H11" i="4"/>
  <c r="G11" i="4"/>
  <c r="J11" i="4"/>
  <c r="I11" i="4"/>
  <c r="G9" i="4"/>
  <c r="G16" i="4"/>
  <c r="G21" i="4"/>
  <c r="G28" i="4"/>
  <c r="G45" i="4"/>
  <c r="G52" i="4"/>
  <c r="J57" i="4"/>
  <c r="J81" i="4"/>
  <c r="J94" i="4"/>
  <c r="I94" i="4"/>
  <c r="H94" i="4"/>
  <c r="J58" i="4"/>
  <c r="I58" i="4"/>
  <c r="H58" i="4"/>
  <c r="I81" i="4"/>
  <c r="J80" i="4"/>
  <c r="I80" i="4"/>
  <c r="H80" i="4"/>
  <c r="H9" i="4"/>
  <c r="H16" i="4"/>
  <c r="H21" i="4"/>
  <c r="H28" i="4"/>
  <c r="H45" i="4"/>
  <c r="H52" i="4"/>
  <c r="J86" i="4"/>
  <c r="I86" i="4"/>
  <c r="H86" i="4"/>
  <c r="J45" i="4"/>
  <c r="J92" i="4"/>
  <c r="I92" i="4"/>
  <c r="H92" i="4"/>
  <c r="J56" i="4"/>
  <c r="I56" i="4"/>
  <c r="H56" i="4"/>
  <c r="I45" i="4"/>
  <c r="J52" i="4"/>
  <c r="J100" i="4"/>
  <c r="I100" i="4"/>
  <c r="H100" i="4"/>
  <c r="J64" i="4"/>
  <c r="I64" i="4"/>
  <c r="H64" i="4"/>
  <c r="G93" i="4"/>
  <c r="J70" i="4"/>
  <c r="I70" i="4"/>
  <c r="H70" i="4"/>
  <c r="J9" i="4"/>
  <c r="J21" i="4"/>
  <c r="H93" i="4"/>
  <c r="J98" i="4"/>
  <c r="I98" i="4"/>
  <c r="H98" i="4"/>
  <c r="J62" i="4"/>
  <c r="I62" i="4"/>
  <c r="H62" i="4"/>
  <c r="J88" i="4"/>
  <c r="I88" i="4"/>
  <c r="H88" i="4"/>
  <c r="I93" i="4"/>
  <c r="J76" i="4"/>
  <c r="I76" i="4"/>
  <c r="H76" i="4"/>
  <c r="I9" i="4"/>
  <c r="G80" i="4"/>
  <c r="J93" i="4"/>
  <c r="G100" i="4"/>
  <c r="J68" i="4"/>
  <c r="I68" i="4"/>
  <c r="H68" i="4"/>
  <c r="J16" i="4"/>
  <c r="G44" i="4"/>
  <c r="J82" i="4"/>
  <c r="I82" i="4"/>
  <c r="H82" i="4"/>
  <c r="H8" i="4"/>
  <c r="H44" i="4"/>
  <c r="G57" i="4"/>
  <c r="G75" i="4"/>
  <c r="G81" i="4"/>
  <c r="I87" i="4"/>
  <c r="J74" i="4"/>
  <c r="I74" i="4"/>
  <c r="H74" i="4"/>
  <c r="B2" i="1" l="1"/>
  <c r="B5" i="1" s="1"/>
  <c r="A5" i="1" s="1"/>
  <c r="B7" i="1" l="1"/>
</calcChain>
</file>

<file path=xl/sharedStrings.xml><?xml version="1.0" encoding="utf-8"?>
<sst xmlns="http://schemas.openxmlformats.org/spreadsheetml/2006/main" count="355" uniqueCount="258">
  <si>
    <t>BIN</t>
  </si>
  <si>
    <t>STK</t>
  </si>
  <si>
    <t>Template</t>
  </si>
  <si>
    <t>data__id</t>
  </si>
  <si>
    <t>data__name</t>
  </si>
  <si>
    <t>data__shortName</t>
  </si>
  <si>
    <t>data__bin</t>
  </si>
  <si>
    <t>data__logo</t>
  </si>
  <si>
    <t>data__short_name</t>
  </si>
  <si>
    <t>https://cdn.vietqr.io/img/ABB.png</t>
  </si>
  <si>
    <t>ABBANK</t>
  </si>
  <si>
    <t>Ngân hàng TMCP Á Châu</t>
  </si>
  <si>
    <t>https://cdn.vietqr.io/img/ACB.png</t>
  </si>
  <si>
    <t>ACB</t>
  </si>
  <si>
    <t>Ngân hàng TMCP Bắc Á</t>
  </si>
  <si>
    <t>https://cdn.vietqr.io/img/BAB.png</t>
  </si>
  <si>
    <t>BacABank</t>
  </si>
  <si>
    <t>Ngân hàng TMCP Đầu tư và Phát triển Việt Nam</t>
  </si>
  <si>
    <t>https://cdn.vietqr.io/img/BIDV.png</t>
  </si>
  <si>
    <t>BIDV</t>
  </si>
  <si>
    <t>Ngân hàng TMCP Bảo Việt</t>
  </si>
  <si>
    <t>https://cdn.vietqr.io/img/BVB.png</t>
  </si>
  <si>
    <t>BaoVietBank</t>
  </si>
  <si>
    <t>BdT8CDO</t>
  </si>
  <si>
    <t>Ngân hàng Thương mại TNHH MTV Xây dựng Việt Nam</t>
  </si>
  <si>
    <t>https://cdn.vietqr.io/img/CBB.png</t>
  </si>
  <si>
    <t>CBBank</t>
  </si>
  <si>
    <t>Ngân hàng TNHH MTV CIMB Việt Nam</t>
  </si>
  <si>
    <t>https://cdn.vietqr.io/img/CIMB.png</t>
  </si>
  <si>
    <t>CIMB</t>
  </si>
  <si>
    <t>Ngân hàng TNHH MTV Số Vikki</t>
  </si>
  <si>
    <t>https://cdn.vietqr.io/img/Vikki.png</t>
  </si>
  <si>
    <t>Vikki</t>
  </si>
  <si>
    <t>Ngân hàng Thương mại TNHH MTV Dầu Khí Toàn Cầu</t>
  </si>
  <si>
    <t>https://cdn.vietqr.io/img/GPB.png</t>
  </si>
  <si>
    <t>GPBank</t>
  </si>
  <si>
    <t>Ngân hàng TMCP Phát triển Thành phố Hồ Chí Minh</t>
  </si>
  <si>
    <t>https://cdn.vietqr.io/img/HDB.png</t>
  </si>
  <si>
    <t>HDBank</t>
  </si>
  <si>
    <t>Ngân hàng TNHH MTV Hong Leong Việt Nam</t>
  </si>
  <si>
    <t>https://cdn.vietqr.io/img/HLBVN.png</t>
  </si>
  <si>
    <t>HongLeong</t>
  </si>
  <si>
    <t>Ngân hàng TNHH MTV HSBC (Việt Nam)</t>
  </si>
  <si>
    <t>https://cdn.vietqr.io/img/HSBC.png</t>
  </si>
  <si>
    <t>HSBC</t>
  </si>
  <si>
    <t>Ngân hàng TMCP Công thương Việt Nam</t>
  </si>
  <si>
    <t>https://cdn.vietqr.io/img/ICB.png</t>
  </si>
  <si>
    <t>VietinBank</t>
  </si>
  <si>
    <t>Ngân hàng TMCP Kiên Long</t>
  </si>
  <si>
    <t>https://cdn.vietqr.io/img/KLB.png</t>
  </si>
  <si>
    <t>KienLongBank</t>
  </si>
  <si>
    <t>Ngân hàng TMCP Quân đội</t>
  </si>
  <si>
    <t>https://cdn.vietqr.io/img/MB.png</t>
  </si>
  <si>
    <t>MBBank</t>
  </si>
  <si>
    <t>Ngân hàng TMCP Hàng Hải Việt Nam</t>
  </si>
  <si>
    <t>https://cdn.vietqr.io/img/MSB.png</t>
  </si>
  <si>
    <t>MSB</t>
  </si>
  <si>
    <t>Ngân hàng TMCP Nam Á</t>
  </si>
  <si>
    <t>https://cdn.vietqr.io/img/NAB.png</t>
  </si>
  <si>
    <t>NamABank</t>
  </si>
  <si>
    <t>Ngân hàng TMCP Quốc Dân</t>
  </si>
  <si>
    <t>https://cdn.vietqr.io/img/NCB.png</t>
  </si>
  <si>
    <t>NCB</t>
  </si>
  <si>
    <t>Ngân hàng TMCP Phương Đông</t>
  </si>
  <si>
    <t>https://cdn.vietqr.io/img/OCB.png</t>
  </si>
  <si>
    <t>OCB</t>
  </si>
  <si>
    <t>Ngân hàng TNHH MTV Public Việt Nam</t>
  </si>
  <si>
    <t>https://cdn.vietqr.io/img/PBVN.png</t>
  </si>
  <si>
    <t>PublicBank</t>
  </si>
  <si>
    <t>Ngân hàng TMCP Đại Chúng Việt Nam</t>
  </si>
  <si>
    <t>https://cdn.vietqr.io/img/PVCB.png</t>
  </si>
  <si>
    <t>PVcomBank</t>
  </si>
  <si>
    <t>Ngân hàng TMCP Sài Gòn</t>
  </si>
  <si>
    <t>https://cdn.vietqr.io/img/SCB.png</t>
  </si>
  <si>
    <t>SCB</t>
  </si>
  <si>
    <t>Ngân hàng TNHH MTV Standard Chartered Bank Việt Nam</t>
  </si>
  <si>
    <t>https://cdn.vietqr.io/img/SCVN.png</t>
  </si>
  <si>
    <t>StandardChartered</t>
  </si>
  <si>
    <t>Ngân hàng TMCP Đông Nam Á</t>
  </si>
  <si>
    <t>https://cdn.vietqr.io/img/SEAB.png</t>
  </si>
  <si>
    <t>SeABank</t>
  </si>
  <si>
    <t>Ngân hàng TMCP Sài Gòn Công Thương</t>
  </si>
  <si>
    <t>https://cdn.vietqr.io/img/SGICB.png</t>
  </si>
  <si>
    <t>SaigonBank</t>
  </si>
  <si>
    <t>Ngân hàng TMCP Sài Gòn - Hà Nội</t>
  </si>
  <si>
    <t>https://cdn.vietqr.io/img/SHB.png</t>
  </si>
  <si>
    <t>SHB</t>
  </si>
  <si>
    <t>Ngân hàng TMCP Sài Gòn Thương Tín</t>
  </si>
  <si>
    <t>https://cdn.vietqr.io/img/STB.png</t>
  </si>
  <si>
    <t>Sacombank</t>
  </si>
  <si>
    <t>Ngân hàng TNHH MTV Shinhan Việt Nam</t>
  </si>
  <si>
    <t>https://cdn.vietqr.io/img/SHBVN.png</t>
  </si>
  <si>
    <t>ShinhanBank</t>
  </si>
  <si>
    <t>Ngân hàng TMCP Kỹ thương Việt Nam</t>
  </si>
  <si>
    <t>https://cdn.vietqr.io/img/TCB.png</t>
  </si>
  <si>
    <t>Techcombank</t>
  </si>
  <si>
    <t>Ngân hàng TMCP Tiên Phong</t>
  </si>
  <si>
    <t>https://cdn.vietqr.io/img/TPB.png</t>
  </si>
  <si>
    <t>TPBank</t>
  </si>
  <si>
    <t>Ngân hàng United Overseas - Chi nhánh TP. Hồ Chí Minh</t>
  </si>
  <si>
    <t>https://cdn.vietqr.io/img/UOB.png</t>
  </si>
  <si>
    <t>UnitedOverseas</t>
  </si>
  <si>
    <t>Ngân hàng TMCP Việt Á</t>
  </si>
  <si>
    <t>https://cdn.vietqr.io/img/VAB.png</t>
  </si>
  <si>
    <t>VietABank</t>
  </si>
  <si>
    <t>Ngân hàng Nông nghiệp và Phát triển Nông thôn Việt Nam</t>
  </si>
  <si>
    <t>https://cdn.vietqr.io/img/VBA.png</t>
  </si>
  <si>
    <t>Agribank</t>
  </si>
  <si>
    <t>Ngân hàng TMCP Ngoại Thương Việt Nam</t>
  </si>
  <si>
    <t>https://cdn.vietqr.io/img/VCB.png</t>
  </si>
  <si>
    <t>Vietcombank</t>
  </si>
  <si>
    <t>Ngân hàng TMCP Bản Việt</t>
  </si>
  <si>
    <t>https://cdn.vietqr.io/img/VCCB.png</t>
  </si>
  <si>
    <t>VietCapitalBank</t>
  </si>
  <si>
    <t>Ngân hàng TMCP Quốc tế Việt Nam</t>
  </si>
  <si>
    <t>https://cdn.vietqr.io/img/VIB.png</t>
  </si>
  <si>
    <t>VIB</t>
  </si>
  <si>
    <t>Ngân hàng TMCP Việt Nam Thương Tín</t>
  </si>
  <si>
    <t>https://cdn.vietqr.io/img/VIETBANK.png</t>
  </si>
  <si>
    <t>VietBank</t>
  </si>
  <si>
    <t>Ngân hàng TMCP Việt Nam Thịnh Vượng</t>
  </si>
  <si>
    <t>https://cdn.vietqr.io/img/VPB.png</t>
  </si>
  <si>
    <t>VPBank</t>
  </si>
  <si>
    <t>Ngân hàng Liên doanh Việt - Nga</t>
  </si>
  <si>
    <t>https://cdn.vietqr.io/img/VRB.png</t>
  </si>
  <si>
    <t>VRB</t>
  </si>
  <si>
    <t>Ngân hàng TNHH MTV Woori Việt Nam</t>
  </si>
  <si>
    <t>https://cdn.vietqr.io/img/WVN.png</t>
  </si>
  <si>
    <t>Woori</t>
  </si>
  <si>
    <t>Ngân hàng Kookmin - Chi nhánh Hà Nội</t>
  </si>
  <si>
    <t>https://cdn.vietqr.io/img/KBHN.png</t>
  </si>
  <si>
    <t>KookminHN</t>
  </si>
  <si>
    <t>Ngân hàng Kookmin - Chi nhánh Thành phố Hồ Chí Minh</t>
  </si>
  <si>
    <t>https://cdn.vietqr.io/img/KBHCM.png</t>
  </si>
  <si>
    <t>KookminHCM</t>
  </si>
  <si>
    <t>Ngân hàng Hợp tác xã Việt Nam</t>
  </si>
  <si>
    <t>https://cdn.vietqr.io/img/COOPBANK.png</t>
  </si>
  <si>
    <t>COOPBANK</t>
  </si>
  <si>
    <t>TMCP Việt Nam Thịnh Vượng - Ngân hàng số CAKE by VPBank</t>
  </si>
  <si>
    <t>https://cdn.vietqr.io/img/CAKE.png</t>
  </si>
  <si>
    <t>CAKE</t>
  </si>
  <si>
    <t>TMCP Việt Nam Thịnh Vượng - Ngân hàng số Ubank by VPBank</t>
  </si>
  <si>
    <t>https://cdn.vietqr.io/img/UBANK.png</t>
  </si>
  <si>
    <t>Ubank</t>
  </si>
  <si>
    <t>Ngân hàng Đại chúng TNHH Kasikornbank</t>
  </si>
  <si>
    <t>https://cdn.vietqr.io/img/KBANK.png</t>
  </si>
  <si>
    <t>KBank</t>
  </si>
  <si>
    <t>Ngân hàng số Timo by Ban Viet Bank (Timo by Ban Viet Bank)</t>
  </si>
  <si>
    <t>https://vietqr.net/portal-service/resources/icons/TIMO.png</t>
  </si>
  <si>
    <t>Timo</t>
  </si>
  <si>
    <t>Ngân hàng Citibank, N.A. - Chi nhánh Hà Nội</t>
  </si>
  <si>
    <t>https://cdn.vietqr.io/img/CITIBANK.png</t>
  </si>
  <si>
    <t>Citibank</t>
  </si>
  <si>
    <t>Ngân hàng TMCP Đại Chúng Việt Nam Ngân hàng số</t>
  </si>
  <si>
    <t>PVcomBank Pay</t>
  </si>
  <si>
    <t>CTCP Dịch Vụ Di Động Trực Tuyến</t>
  </si>
  <si>
    <t>https://cdn.vietqr.io/img/momo.png</t>
  </si>
  <si>
    <t>MoMo</t>
  </si>
  <si>
    <t>data__code</t>
  </si>
  <si>
    <t>Ngân hàng TMCP An Bình</t>
  </si>
  <si>
    <t>ABB</t>
  </si>
  <si>
    <t>BAB</t>
  </si>
  <si>
    <t>BVB</t>
  </si>
  <si>
    <t>CBB</t>
  </si>
  <si>
    <t>DBS Bank Ltd - Chi nhánh Thành phố Hồ Chí Minh</t>
  </si>
  <si>
    <t>DBS</t>
  </si>
  <si>
    <t>DBSBank</t>
  </si>
  <si>
    <t>https://cdn.vietqr.io/img/DBS.png</t>
  </si>
  <si>
    <t>Ngân hàng TMCP Xuất Nhập khẩu Việt Nam</t>
  </si>
  <si>
    <t>EIB</t>
  </si>
  <si>
    <t>Eximbank</t>
  </si>
  <si>
    <t>https://cdn.vietqr.io/img/EIB.png</t>
  </si>
  <si>
    <t>GPB</t>
  </si>
  <si>
    <t>HDB</t>
  </si>
  <si>
    <t>HLBVN</t>
  </si>
  <si>
    <t>Ngân hàng Công nghiệp Hàn Quốc - Chi nhánh Hà Nội</t>
  </si>
  <si>
    <t>IBK - HN</t>
  </si>
  <si>
    <t>IBKHN</t>
  </si>
  <si>
    <t>https://cdn.vietqr.io/img/IBK.png</t>
  </si>
  <si>
    <t>Ngân hàng Công nghiệp Hàn Quốc - Chi nhánh TP. Hồ Chí Minh</t>
  </si>
  <si>
    <t>IBK - HCM</t>
  </si>
  <si>
    <t>IBKHCM</t>
  </si>
  <si>
    <t>ICB</t>
  </si>
  <si>
    <t>Ngân hàng TNHH Indovina</t>
  </si>
  <si>
    <t>IVB</t>
  </si>
  <si>
    <t>IndovinaBank</t>
  </si>
  <si>
    <t>https://cdn.vietqr.io/img/IVB.png</t>
  </si>
  <si>
    <t>KLB</t>
  </si>
  <si>
    <t>Ngân hàng TMCP Lộc Phát Việt Nam</t>
  </si>
  <si>
    <t>LPB</t>
  </si>
  <si>
    <t>LPBank</t>
  </si>
  <si>
    <t>https://cdn.vietqr.io/img/LPB.png</t>
  </si>
  <si>
    <t>MB</t>
  </si>
  <si>
    <t>NAB</t>
  </si>
  <si>
    <t>Ngân hàng Nonghyup - Chi nhánh Hà Nội</t>
  </si>
  <si>
    <t>NHB HN</t>
  </si>
  <si>
    <t>Nonghyup</t>
  </si>
  <si>
    <t>https://cdn.vietqr.io/img/NHB.png</t>
  </si>
  <si>
    <t>Ngân hàng TNHH MTV Việt Nam Hiện Đại</t>
  </si>
  <si>
    <t>MBV</t>
  </si>
  <si>
    <t>https://cdn.vietqr.io/img/MBV.png</t>
  </si>
  <si>
    <t>PBVN</t>
  </si>
  <si>
    <t>Ngân hàng TMCP Thịnh vượng và Phát triển</t>
  </si>
  <si>
    <t>PGB</t>
  </si>
  <si>
    <t>PGBank</t>
  </si>
  <si>
    <t>https://cdn.vietqr.io/img/PGB.png</t>
  </si>
  <si>
    <t>PVCB</t>
  </si>
  <si>
    <t>SCVN</t>
  </si>
  <si>
    <t>SEAB</t>
  </si>
  <si>
    <t>SGICB</t>
  </si>
  <si>
    <t>STB</t>
  </si>
  <si>
    <t>SHBVN</t>
  </si>
  <si>
    <t>TCB</t>
  </si>
  <si>
    <t>TPB</t>
  </si>
  <si>
    <t>UOB</t>
  </si>
  <si>
    <t>VAB</t>
  </si>
  <si>
    <t>VBA</t>
  </si>
  <si>
    <t>VCB</t>
  </si>
  <si>
    <t>VCCB</t>
  </si>
  <si>
    <t>VIETBANK</t>
  </si>
  <si>
    <t>VPB</t>
  </si>
  <si>
    <t>WVN</t>
  </si>
  <si>
    <t>KBHN</t>
  </si>
  <si>
    <t>KBHCM</t>
  </si>
  <si>
    <t>VNPT Money</t>
  </si>
  <si>
    <t>VNPTMONEY</t>
  </si>
  <si>
    <t>VNPTMoney</t>
  </si>
  <si>
    <t>https://cdn.vietqr.io/img/VNPTMONEY.png</t>
  </si>
  <si>
    <t>Tổng Công ty Dịch vụ số Viettel - Chi nhánh tập đoàn công nghiệp viễn thông Quân Đội</t>
  </si>
  <si>
    <t>VTLMONEY</t>
  </si>
  <si>
    <t>ViettelMoney</t>
  </si>
  <si>
    <t>https://cdn.vietqr.io/img/VIETTELMONEY.png</t>
  </si>
  <si>
    <t>TIMO</t>
  </si>
  <si>
    <t>CITIBANK</t>
  </si>
  <si>
    <t>Ngân hàng KEB Hana – Chi nhánh Thành phố Hồ Chí Minh</t>
  </si>
  <si>
    <t>KEBHANAHCM</t>
  </si>
  <si>
    <t>KEBHanaHCM</t>
  </si>
  <si>
    <t>https://cdn.vietqr.io/img/KEBHANAHCM.png</t>
  </si>
  <si>
    <t>Ngân hàng KEB Hana – Chi nhánh Hà Nội</t>
  </si>
  <si>
    <t>KEBHANAHN</t>
  </si>
  <si>
    <t>https://cdn.vietqr.io/img/KEBHANAHN.png</t>
  </si>
  <si>
    <t>Công ty Tài chính TNHH MTV Mirae Asset (Việt Nam)</t>
  </si>
  <si>
    <t>MAFC</t>
  </si>
  <si>
    <t>https://cdn.vietqr.io/img/MAFC.png</t>
  </si>
  <si>
    <t>Ngân hàng Chính sách Xã hội</t>
  </si>
  <si>
    <t>VBSP</t>
  </si>
  <si>
    <t>https://cdn.vietqr.io/img/VBSP.png</t>
  </si>
  <si>
    <t>PVDB</t>
  </si>
  <si>
    <t>momo</t>
  </si>
  <si>
    <t>list_name</t>
  </si>
  <si>
    <t>data_num</t>
  </si>
  <si>
    <t>Templa</t>
  </si>
  <si>
    <t>compact2</t>
  </si>
  <si>
    <t>compact</t>
  </si>
  <si>
    <t>print</t>
  </si>
  <si>
    <t>qr_only</t>
  </si>
  <si>
    <t>name_ac</t>
  </si>
  <si>
    <t>Huynh Tran Tuan Kiet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</si>
</sst>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đ-42A]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</font>
    <font>
      <b/>
      <sz val="11"/>
      <color theme="1"/>
      <name val="Calibri"/>
    </font>
    <font>
      <u/>
      <sz val="18"/>
      <color rgb="FFFF0000"/>
      <name val="Calibri"/>
    </font>
    <font>
      <u/>
      <sz val="11"/>
      <color theme="0"/>
      <name val="Calibri"/>
    </font>
    <font>
      <u/>
      <sz val="18"/>
      <color theme="4"/>
      <name val="Calibri"/>
    </font>
    <font>
      <sz val="10"/>
      <color rgb="FF1C1E21"/>
      <name val="Nunito Sans"/>
    </font>
    <font>
      <sz val="18"/>
      <color theme="4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1"/>
      <color theme="1"/>
      <name val="Calibri"/>
      <family val="2"/>
    </font>
    <font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4" fillId="0" borderId="3" xfId="0" applyFont="1" applyBorder="1"/>
    <xf numFmtId="0" fontId="5" fillId="2" borderId="5" xfId="0" applyFont="1" applyFill="1" applyBorder="1"/>
    <xf numFmtId="0" fontId="6" fillId="0" borderId="3" xfId="0" applyFont="1" applyBorder="1"/>
    <xf numFmtId="0" fontId="2" fillId="0" borderId="0" xfId="0" applyFont="1" applyAlignment="1">
      <alignment horizontal="left" vertical="top"/>
    </xf>
    <xf numFmtId="0" fontId="7" fillId="0" borderId="0" xfId="0" applyFont="1"/>
    <xf numFmtId="0" fontId="8" fillId="0" borderId="3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3" fillId="0" borderId="2" xfId="0" applyNumberFormat="1" applyFont="1" applyBorder="1" applyAlignment="1">
      <alignment horizontal="left" vertical="top"/>
    </xf>
    <xf numFmtId="0" fontId="13" fillId="0" borderId="4" xfId="0" applyFont="1" applyBorder="1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API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Trang tính1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749FA-984C-46C9-AAB8-7ABB595D4FB8}" name="Table1" displayName="Table1" ref="A1:J101" totalsRowShown="0" headerRowDxfId="11" dataDxfId="10">
  <autoFilter ref="A1:J101" xr:uid="{7F0749FA-984C-46C9-AAB8-7ABB595D4FB8}"/>
  <tableColumns count="10">
    <tableColumn id="1" xr3:uid="{F8D53C57-7078-4EF6-9C73-35B4D8C4988B}" name="data__id" dataDxfId="9"/>
    <tableColumn id="2" xr3:uid="{390DCB3F-4D6D-4198-B590-711049680796}" name="list_name" dataDxfId="8">
      <calculatedColumnFormula>IFERROR((VLOOKUP(Table1[[#This Row],[data__id]],'API - io'!$A:$H,3,0)),"-")</calculatedColumnFormula>
    </tableColumn>
    <tableColumn id="10" xr3:uid="{576DFB3C-BE82-459C-804A-245AC638C8B8}" name="data_num" dataDxfId="7"/>
    <tableColumn id="11" xr3:uid="{A98793EC-C017-48A1-96BE-B60CD452DAC7}" name="name_ac" dataDxfId="6"/>
    <tableColumn id="3" xr3:uid="{2B86B3E1-90A9-4410-87A1-76EA940DC021}" name="data__name" dataDxfId="5">
      <calculatedColumnFormula>IFERROR((VLOOKUP(Table1[[#This Row],[data__id]],'API - io'!$A:$H,5,0)),"-")</calculatedColumnFormula>
    </tableColumn>
    <tableColumn id="4" xr3:uid="{D4B6D36E-F5B4-4050-84DA-B62E678E55BF}" name="data__code" dataDxfId="4">
      <calculatedColumnFormula>IFERROR((VLOOKUP(Table1[[#This Row],[data__id]],'API - io'!$A:$H,3,0)),"-")</calculatedColumnFormula>
    </tableColumn>
    <tableColumn id="5" xr3:uid="{F102E323-9AC5-4420-B847-1C14F7757293}" name="data__bin" dataDxfId="3">
      <calculatedColumnFormula>IFERROR((VLOOKUP(A2,'API - io'!$A:$G,4,0)),"-")</calculatedColumnFormula>
    </tableColumn>
    <tableColumn id="6" xr3:uid="{DB8F4E18-D2FD-4EA2-B28D-DA53D8A12D89}" name="data__shortName" dataDxfId="2">
      <calculatedColumnFormula>IFERROR((VLOOKUP(A2,'API - io'!$A:$G,5,0)),"-")</calculatedColumnFormula>
    </tableColumn>
    <tableColumn id="7" xr3:uid="{EA429D0C-4231-435B-91FE-DAD0B13369DF}" name="data__logo" dataDxfId="1">
      <calculatedColumnFormula>IFERROR((VLOOKUP(A2,'API - io'!$A:$G,6,0)),"-")</calculatedColumnFormula>
    </tableColumn>
    <tableColumn id="8" xr3:uid="{BD47F35F-8B5D-4304-BED9-AA9B06C54ACA}" name="data__short_name" dataDxfId="0">
      <calculatedColumnFormula>IFERROR((VLOOKUP(A2,'API - io'!$A:$G,7,0)),"-")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nk.json" displayName="bank.json" ref="A1:H66">
  <autoFilter ref="A1:H66" xr:uid="{00000000-000C-0000-FFFF-FFFF01000000}"/>
  <sortState xmlns:xlrd2="http://schemas.microsoft.com/office/spreadsheetml/2017/richdata2" ref="A2:G66">
    <sortCondition ref="A1:A66"/>
  </sortState>
  <tableColumns count="8">
    <tableColumn id="1" xr3:uid="{00000000-0010-0000-0100-000001000000}" name="data__id"/>
    <tableColumn id="2" xr3:uid="{00000000-0010-0000-0100-000002000000}" name="data__name"/>
    <tableColumn id="3" xr3:uid="{00000000-0010-0000-0100-000003000000}" name="data__code"/>
    <tableColumn id="4" xr3:uid="{00000000-0010-0000-0100-000004000000}" name="data__bin"/>
    <tableColumn id="5" xr3:uid="{00000000-0010-0000-0100-000005000000}" name="data__shortName"/>
    <tableColumn id="6" xr3:uid="{00000000-0010-0000-0100-000006000000}" name="data__logo"/>
    <tableColumn id="7" xr3:uid="{00000000-0010-0000-0100-000007000000}" name="data__short_name"/>
    <tableColumn id="8" xr3:uid="{BB0EAC0D-1D01-407B-ADB1-06B77F9414FE}" name="Templa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vietqr.io/img/ABB.png" TargetMode="External"/><Relationship Id="rId21" Type="http://schemas.openxmlformats.org/officeDocument/2006/relationships/hyperlink" Target="https://cdn.vietqr.io/img/ABB.png" TargetMode="External"/><Relationship Id="rId42" Type="http://schemas.openxmlformats.org/officeDocument/2006/relationships/hyperlink" Target="https://cdn.vietqr.io/img/ABB.png" TargetMode="External"/><Relationship Id="rId47" Type="http://schemas.openxmlformats.org/officeDocument/2006/relationships/hyperlink" Target="https://cdn.vietqr.io/img/ABB.png" TargetMode="External"/><Relationship Id="rId63" Type="http://schemas.openxmlformats.org/officeDocument/2006/relationships/hyperlink" Target="https://cdn.vietqr.io/img/ABB.png" TargetMode="External"/><Relationship Id="rId68" Type="http://schemas.openxmlformats.org/officeDocument/2006/relationships/hyperlink" Target="https://cdn.vietqr.io/img/ABB.png" TargetMode="External"/><Relationship Id="rId84" Type="http://schemas.openxmlformats.org/officeDocument/2006/relationships/hyperlink" Target="https://cdn.vietqr.io/img/ABB.png" TargetMode="External"/><Relationship Id="rId89" Type="http://schemas.openxmlformats.org/officeDocument/2006/relationships/hyperlink" Target="https://cdn.vietqr.io/img/ABB.png" TargetMode="External"/><Relationship Id="rId16" Type="http://schemas.openxmlformats.org/officeDocument/2006/relationships/hyperlink" Target="https://cdn.vietqr.io/img/ABB.png" TargetMode="External"/><Relationship Id="rId11" Type="http://schemas.openxmlformats.org/officeDocument/2006/relationships/hyperlink" Target="https://cdn.vietqr.io/img/ABB.png" TargetMode="External"/><Relationship Id="rId32" Type="http://schemas.openxmlformats.org/officeDocument/2006/relationships/hyperlink" Target="https://cdn.vietqr.io/img/ABB.png" TargetMode="External"/><Relationship Id="rId37" Type="http://schemas.openxmlformats.org/officeDocument/2006/relationships/hyperlink" Target="https://cdn.vietqr.io/img/ABB.png" TargetMode="External"/><Relationship Id="rId53" Type="http://schemas.openxmlformats.org/officeDocument/2006/relationships/hyperlink" Target="https://cdn.vietqr.io/img/ABB.png" TargetMode="External"/><Relationship Id="rId58" Type="http://schemas.openxmlformats.org/officeDocument/2006/relationships/hyperlink" Target="https://cdn.vietqr.io/img/ABB.png" TargetMode="External"/><Relationship Id="rId74" Type="http://schemas.openxmlformats.org/officeDocument/2006/relationships/hyperlink" Target="https://cdn.vietqr.io/img/ABB.png" TargetMode="External"/><Relationship Id="rId79" Type="http://schemas.openxmlformats.org/officeDocument/2006/relationships/hyperlink" Target="https://cdn.vietqr.io/img/ABB.png" TargetMode="External"/><Relationship Id="rId5" Type="http://schemas.openxmlformats.org/officeDocument/2006/relationships/hyperlink" Target="https://cdn.vietqr.io/img/ABB.png" TargetMode="External"/><Relationship Id="rId90" Type="http://schemas.openxmlformats.org/officeDocument/2006/relationships/hyperlink" Target="https://cdn.vietqr.io/img/ABB.png" TargetMode="External"/><Relationship Id="rId95" Type="http://schemas.openxmlformats.org/officeDocument/2006/relationships/hyperlink" Target="https://cdn.vietqr.io/img/ABB.png" TargetMode="External"/><Relationship Id="rId22" Type="http://schemas.openxmlformats.org/officeDocument/2006/relationships/hyperlink" Target="https://cdn.vietqr.io/img/ABB.png" TargetMode="External"/><Relationship Id="rId27" Type="http://schemas.openxmlformats.org/officeDocument/2006/relationships/hyperlink" Target="https://cdn.vietqr.io/img/ABB.png" TargetMode="External"/><Relationship Id="rId43" Type="http://schemas.openxmlformats.org/officeDocument/2006/relationships/hyperlink" Target="https://cdn.vietqr.io/img/ABB.png" TargetMode="External"/><Relationship Id="rId48" Type="http://schemas.openxmlformats.org/officeDocument/2006/relationships/hyperlink" Target="https://cdn.vietqr.io/img/ABB.png" TargetMode="External"/><Relationship Id="rId64" Type="http://schemas.openxmlformats.org/officeDocument/2006/relationships/hyperlink" Target="https://cdn.vietqr.io/img/ABB.png" TargetMode="External"/><Relationship Id="rId69" Type="http://schemas.openxmlformats.org/officeDocument/2006/relationships/hyperlink" Target="https://cdn.vietqr.io/img/ABB.png" TargetMode="External"/><Relationship Id="rId80" Type="http://schemas.openxmlformats.org/officeDocument/2006/relationships/hyperlink" Target="https://cdn.vietqr.io/img/ABB.png" TargetMode="External"/><Relationship Id="rId85" Type="http://schemas.openxmlformats.org/officeDocument/2006/relationships/hyperlink" Target="https://cdn.vietqr.io/img/ABB.png" TargetMode="External"/><Relationship Id="rId12" Type="http://schemas.openxmlformats.org/officeDocument/2006/relationships/hyperlink" Target="https://cdn.vietqr.io/img/ABB.png" TargetMode="External"/><Relationship Id="rId17" Type="http://schemas.openxmlformats.org/officeDocument/2006/relationships/hyperlink" Target="https://cdn.vietqr.io/img/ABB.png" TargetMode="External"/><Relationship Id="rId25" Type="http://schemas.openxmlformats.org/officeDocument/2006/relationships/hyperlink" Target="https://cdn.vietqr.io/img/ABB.png" TargetMode="External"/><Relationship Id="rId33" Type="http://schemas.openxmlformats.org/officeDocument/2006/relationships/hyperlink" Target="https://cdn.vietqr.io/img/ABB.png" TargetMode="External"/><Relationship Id="rId38" Type="http://schemas.openxmlformats.org/officeDocument/2006/relationships/hyperlink" Target="https://cdn.vietqr.io/img/ABB.png" TargetMode="External"/><Relationship Id="rId46" Type="http://schemas.openxmlformats.org/officeDocument/2006/relationships/hyperlink" Target="https://cdn.vietqr.io/img/ABB.png" TargetMode="External"/><Relationship Id="rId59" Type="http://schemas.openxmlformats.org/officeDocument/2006/relationships/hyperlink" Target="https://cdn.vietqr.io/img/ABB.png" TargetMode="External"/><Relationship Id="rId67" Type="http://schemas.openxmlformats.org/officeDocument/2006/relationships/hyperlink" Target="https://cdn.vietqr.io/img/ABB.png" TargetMode="External"/><Relationship Id="rId20" Type="http://schemas.openxmlformats.org/officeDocument/2006/relationships/hyperlink" Target="https://cdn.vietqr.io/img/ABB.png" TargetMode="External"/><Relationship Id="rId41" Type="http://schemas.openxmlformats.org/officeDocument/2006/relationships/hyperlink" Target="https://cdn.vietqr.io/img/ABB.png" TargetMode="External"/><Relationship Id="rId54" Type="http://schemas.openxmlformats.org/officeDocument/2006/relationships/hyperlink" Target="https://cdn.vietqr.io/img/ABB.png" TargetMode="External"/><Relationship Id="rId62" Type="http://schemas.openxmlformats.org/officeDocument/2006/relationships/hyperlink" Target="https://cdn.vietqr.io/img/ABB.png" TargetMode="External"/><Relationship Id="rId70" Type="http://schemas.openxmlformats.org/officeDocument/2006/relationships/hyperlink" Target="https://cdn.vietqr.io/img/ABB.png" TargetMode="External"/><Relationship Id="rId75" Type="http://schemas.openxmlformats.org/officeDocument/2006/relationships/hyperlink" Target="https://cdn.vietqr.io/img/ABB.png" TargetMode="External"/><Relationship Id="rId83" Type="http://schemas.openxmlformats.org/officeDocument/2006/relationships/hyperlink" Target="https://cdn.vietqr.io/img/ABB.png" TargetMode="External"/><Relationship Id="rId88" Type="http://schemas.openxmlformats.org/officeDocument/2006/relationships/hyperlink" Target="https://cdn.vietqr.io/img/ABB.png" TargetMode="External"/><Relationship Id="rId91" Type="http://schemas.openxmlformats.org/officeDocument/2006/relationships/hyperlink" Target="https://cdn.vietqr.io/img/ABB.png" TargetMode="External"/><Relationship Id="rId96" Type="http://schemas.openxmlformats.org/officeDocument/2006/relationships/hyperlink" Target="https://cdn.vietqr.io/img/ABB.png" TargetMode="External"/><Relationship Id="rId1" Type="http://schemas.openxmlformats.org/officeDocument/2006/relationships/hyperlink" Target="https://cdn.vietqr.io/img/ABB.png" TargetMode="External"/><Relationship Id="rId6" Type="http://schemas.openxmlformats.org/officeDocument/2006/relationships/hyperlink" Target="https://cdn.vietqr.io/img/ABB.png" TargetMode="External"/><Relationship Id="rId15" Type="http://schemas.openxmlformats.org/officeDocument/2006/relationships/hyperlink" Target="https://cdn.vietqr.io/img/ABB.png" TargetMode="External"/><Relationship Id="rId23" Type="http://schemas.openxmlformats.org/officeDocument/2006/relationships/hyperlink" Target="https://cdn.vietqr.io/img/ABB.png" TargetMode="External"/><Relationship Id="rId28" Type="http://schemas.openxmlformats.org/officeDocument/2006/relationships/hyperlink" Target="https://cdn.vietqr.io/img/ABB.png" TargetMode="External"/><Relationship Id="rId36" Type="http://schemas.openxmlformats.org/officeDocument/2006/relationships/hyperlink" Target="https://cdn.vietqr.io/img/ABB.png" TargetMode="External"/><Relationship Id="rId49" Type="http://schemas.openxmlformats.org/officeDocument/2006/relationships/hyperlink" Target="https://cdn.vietqr.io/img/ABB.png" TargetMode="External"/><Relationship Id="rId57" Type="http://schemas.openxmlformats.org/officeDocument/2006/relationships/hyperlink" Target="https://cdn.vietqr.io/img/ABB.png" TargetMode="External"/><Relationship Id="rId10" Type="http://schemas.openxmlformats.org/officeDocument/2006/relationships/hyperlink" Target="https://cdn.vietqr.io/img/ABB.png" TargetMode="External"/><Relationship Id="rId31" Type="http://schemas.openxmlformats.org/officeDocument/2006/relationships/hyperlink" Target="https://cdn.vietqr.io/img/ABB.png" TargetMode="External"/><Relationship Id="rId44" Type="http://schemas.openxmlformats.org/officeDocument/2006/relationships/hyperlink" Target="https://cdn.vietqr.io/img/ABB.png" TargetMode="External"/><Relationship Id="rId52" Type="http://schemas.openxmlformats.org/officeDocument/2006/relationships/hyperlink" Target="https://cdn.vietqr.io/img/ABB.png" TargetMode="External"/><Relationship Id="rId60" Type="http://schemas.openxmlformats.org/officeDocument/2006/relationships/hyperlink" Target="https://cdn.vietqr.io/img/ABB.png" TargetMode="External"/><Relationship Id="rId65" Type="http://schemas.openxmlformats.org/officeDocument/2006/relationships/hyperlink" Target="https://cdn.vietqr.io/img/ABB.png" TargetMode="External"/><Relationship Id="rId73" Type="http://schemas.openxmlformats.org/officeDocument/2006/relationships/hyperlink" Target="https://cdn.vietqr.io/img/ABB.png" TargetMode="External"/><Relationship Id="rId78" Type="http://schemas.openxmlformats.org/officeDocument/2006/relationships/hyperlink" Target="https://cdn.vietqr.io/img/ABB.png" TargetMode="External"/><Relationship Id="rId81" Type="http://schemas.openxmlformats.org/officeDocument/2006/relationships/hyperlink" Target="https://cdn.vietqr.io/img/ABB.png" TargetMode="External"/><Relationship Id="rId86" Type="http://schemas.openxmlformats.org/officeDocument/2006/relationships/hyperlink" Target="https://cdn.vietqr.io/img/ABB.png" TargetMode="External"/><Relationship Id="rId94" Type="http://schemas.openxmlformats.org/officeDocument/2006/relationships/hyperlink" Target="https://cdn.vietqr.io/img/ABB.png" TargetMode="External"/><Relationship Id="rId99" Type="http://schemas.openxmlformats.org/officeDocument/2006/relationships/hyperlink" Target="https://cdn.vietqr.io/img/ABB.png" TargetMode="External"/><Relationship Id="rId101" Type="http://schemas.openxmlformats.org/officeDocument/2006/relationships/table" Target="../tables/table1.xml"/><Relationship Id="rId4" Type="http://schemas.openxmlformats.org/officeDocument/2006/relationships/hyperlink" Target="https://cdn.vietqr.io/img/ABB.png" TargetMode="External"/><Relationship Id="rId9" Type="http://schemas.openxmlformats.org/officeDocument/2006/relationships/hyperlink" Target="https://cdn.vietqr.io/img/ABB.png" TargetMode="External"/><Relationship Id="rId13" Type="http://schemas.openxmlformats.org/officeDocument/2006/relationships/hyperlink" Target="https://cdn.vietqr.io/img/ABB.png" TargetMode="External"/><Relationship Id="rId18" Type="http://schemas.openxmlformats.org/officeDocument/2006/relationships/hyperlink" Target="https://cdn.vietqr.io/img/ABB.png" TargetMode="External"/><Relationship Id="rId39" Type="http://schemas.openxmlformats.org/officeDocument/2006/relationships/hyperlink" Target="https://cdn.vietqr.io/img/ABB.png" TargetMode="External"/><Relationship Id="rId34" Type="http://schemas.openxmlformats.org/officeDocument/2006/relationships/hyperlink" Target="https://cdn.vietqr.io/img/ABB.png" TargetMode="External"/><Relationship Id="rId50" Type="http://schemas.openxmlformats.org/officeDocument/2006/relationships/hyperlink" Target="https://cdn.vietqr.io/img/ABB.png" TargetMode="External"/><Relationship Id="rId55" Type="http://schemas.openxmlformats.org/officeDocument/2006/relationships/hyperlink" Target="https://cdn.vietqr.io/img/ABB.png" TargetMode="External"/><Relationship Id="rId76" Type="http://schemas.openxmlformats.org/officeDocument/2006/relationships/hyperlink" Target="https://cdn.vietqr.io/img/ABB.png" TargetMode="External"/><Relationship Id="rId97" Type="http://schemas.openxmlformats.org/officeDocument/2006/relationships/hyperlink" Target="https://cdn.vietqr.io/img/ABB.png" TargetMode="External"/><Relationship Id="rId7" Type="http://schemas.openxmlformats.org/officeDocument/2006/relationships/hyperlink" Target="https://cdn.vietqr.io/img/ABB.png" TargetMode="External"/><Relationship Id="rId71" Type="http://schemas.openxmlformats.org/officeDocument/2006/relationships/hyperlink" Target="https://cdn.vietqr.io/img/ABB.png" TargetMode="External"/><Relationship Id="rId92" Type="http://schemas.openxmlformats.org/officeDocument/2006/relationships/hyperlink" Target="https://cdn.vietqr.io/img/ABB.png" TargetMode="External"/><Relationship Id="rId2" Type="http://schemas.openxmlformats.org/officeDocument/2006/relationships/hyperlink" Target="https://cdn.vietqr.io/img/ABB.png" TargetMode="External"/><Relationship Id="rId29" Type="http://schemas.openxmlformats.org/officeDocument/2006/relationships/hyperlink" Target="https://cdn.vietqr.io/img/ABB.png" TargetMode="External"/><Relationship Id="rId24" Type="http://schemas.openxmlformats.org/officeDocument/2006/relationships/hyperlink" Target="https://cdn.vietqr.io/img/ABB.png" TargetMode="External"/><Relationship Id="rId40" Type="http://schemas.openxmlformats.org/officeDocument/2006/relationships/hyperlink" Target="https://cdn.vietqr.io/img/ABB.png" TargetMode="External"/><Relationship Id="rId45" Type="http://schemas.openxmlformats.org/officeDocument/2006/relationships/hyperlink" Target="https://cdn.vietqr.io/img/ABB.png" TargetMode="External"/><Relationship Id="rId66" Type="http://schemas.openxmlformats.org/officeDocument/2006/relationships/hyperlink" Target="https://cdn.vietqr.io/img/ABB.png" TargetMode="External"/><Relationship Id="rId87" Type="http://schemas.openxmlformats.org/officeDocument/2006/relationships/hyperlink" Target="https://cdn.vietqr.io/img/ABB.png" TargetMode="External"/><Relationship Id="rId61" Type="http://schemas.openxmlformats.org/officeDocument/2006/relationships/hyperlink" Target="https://cdn.vietqr.io/img/ABB.png" TargetMode="External"/><Relationship Id="rId82" Type="http://schemas.openxmlformats.org/officeDocument/2006/relationships/hyperlink" Target="https://cdn.vietqr.io/img/ABB.png" TargetMode="External"/><Relationship Id="rId19" Type="http://schemas.openxmlformats.org/officeDocument/2006/relationships/hyperlink" Target="https://cdn.vietqr.io/img/ABB.png" TargetMode="External"/><Relationship Id="rId14" Type="http://schemas.openxmlformats.org/officeDocument/2006/relationships/hyperlink" Target="https://cdn.vietqr.io/img/ABB.png" TargetMode="External"/><Relationship Id="rId30" Type="http://schemas.openxmlformats.org/officeDocument/2006/relationships/hyperlink" Target="https://cdn.vietqr.io/img/ABB.png" TargetMode="External"/><Relationship Id="rId35" Type="http://schemas.openxmlformats.org/officeDocument/2006/relationships/hyperlink" Target="https://cdn.vietqr.io/img/ABB.png" TargetMode="External"/><Relationship Id="rId56" Type="http://schemas.openxmlformats.org/officeDocument/2006/relationships/hyperlink" Target="https://cdn.vietqr.io/img/ABB.png" TargetMode="External"/><Relationship Id="rId77" Type="http://schemas.openxmlformats.org/officeDocument/2006/relationships/hyperlink" Target="https://cdn.vietqr.io/img/ABB.png" TargetMode="External"/><Relationship Id="rId100" Type="http://schemas.openxmlformats.org/officeDocument/2006/relationships/hyperlink" Target="https://cdn.vietqr.io/img/ABB.png" TargetMode="External"/><Relationship Id="rId8" Type="http://schemas.openxmlformats.org/officeDocument/2006/relationships/hyperlink" Target="https://cdn.vietqr.io/img/ABB.png" TargetMode="External"/><Relationship Id="rId51" Type="http://schemas.openxmlformats.org/officeDocument/2006/relationships/hyperlink" Target="https://cdn.vietqr.io/img/ABB.png" TargetMode="External"/><Relationship Id="rId72" Type="http://schemas.openxmlformats.org/officeDocument/2006/relationships/hyperlink" Target="https://cdn.vietqr.io/img/ABB.png" TargetMode="External"/><Relationship Id="rId93" Type="http://schemas.openxmlformats.org/officeDocument/2006/relationships/hyperlink" Target="https://cdn.vietqr.io/img/ABB.png" TargetMode="External"/><Relationship Id="rId98" Type="http://schemas.openxmlformats.org/officeDocument/2006/relationships/hyperlink" Target="https://cdn.vietqr.io/img/ABB.png" TargetMode="External"/><Relationship Id="rId3" Type="http://schemas.openxmlformats.org/officeDocument/2006/relationships/hyperlink" Target="https://cdn.vietqr.io/img/ABB.pn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vietqr.io/img/OCB.png" TargetMode="External"/><Relationship Id="rId21" Type="http://schemas.openxmlformats.org/officeDocument/2006/relationships/hyperlink" Target="https://cdn.vietqr.io/img/MB.png" TargetMode="External"/><Relationship Id="rId34" Type="http://schemas.openxmlformats.org/officeDocument/2006/relationships/hyperlink" Target="https://cdn.vietqr.io/img/SGICB.png" TargetMode="External"/><Relationship Id="rId42" Type="http://schemas.openxmlformats.org/officeDocument/2006/relationships/hyperlink" Target="https://cdn.vietqr.io/img/VBA.png" TargetMode="External"/><Relationship Id="rId47" Type="http://schemas.openxmlformats.org/officeDocument/2006/relationships/hyperlink" Target="https://cdn.vietqr.io/img/VPB.png" TargetMode="External"/><Relationship Id="rId50" Type="http://schemas.openxmlformats.org/officeDocument/2006/relationships/hyperlink" Target="https://cdn.vietqr.io/img/KBHN.png" TargetMode="External"/><Relationship Id="rId55" Type="http://schemas.openxmlformats.org/officeDocument/2006/relationships/hyperlink" Target="https://cdn.vietqr.io/img/KBANK.png" TargetMode="External"/><Relationship Id="rId63" Type="http://schemas.openxmlformats.org/officeDocument/2006/relationships/hyperlink" Target="https://cdn.vietqr.io/img/VBSP.png" TargetMode="External"/><Relationship Id="rId7" Type="http://schemas.openxmlformats.org/officeDocument/2006/relationships/hyperlink" Target="https://cdn.vietqr.io/img/CIMB.png" TargetMode="External"/><Relationship Id="rId2" Type="http://schemas.openxmlformats.org/officeDocument/2006/relationships/hyperlink" Target="https://cdn.vietqr.io/img/ACB.png" TargetMode="External"/><Relationship Id="rId16" Type="http://schemas.openxmlformats.org/officeDocument/2006/relationships/hyperlink" Target="https://cdn.vietqr.io/img/IBK.png" TargetMode="External"/><Relationship Id="rId29" Type="http://schemas.openxmlformats.org/officeDocument/2006/relationships/hyperlink" Target="https://cdn.vietqr.io/img/PGB.png" TargetMode="External"/><Relationship Id="rId11" Type="http://schemas.openxmlformats.org/officeDocument/2006/relationships/hyperlink" Target="https://cdn.vietqr.io/img/GPB.png" TargetMode="External"/><Relationship Id="rId24" Type="http://schemas.openxmlformats.org/officeDocument/2006/relationships/hyperlink" Target="https://cdn.vietqr.io/img/NCB.png" TargetMode="External"/><Relationship Id="rId32" Type="http://schemas.openxmlformats.org/officeDocument/2006/relationships/hyperlink" Target="https://cdn.vietqr.io/img/SCVN.png" TargetMode="External"/><Relationship Id="rId37" Type="http://schemas.openxmlformats.org/officeDocument/2006/relationships/hyperlink" Target="https://cdn.vietqr.io/img/SHBVN.png" TargetMode="External"/><Relationship Id="rId40" Type="http://schemas.openxmlformats.org/officeDocument/2006/relationships/hyperlink" Target="https://cdn.vietqr.io/img/UOB.png" TargetMode="External"/><Relationship Id="rId45" Type="http://schemas.openxmlformats.org/officeDocument/2006/relationships/hyperlink" Target="https://cdn.vietqr.io/img/VIB.png" TargetMode="External"/><Relationship Id="rId53" Type="http://schemas.openxmlformats.org/officeDocument/2006/relationships/hyperlink" Target="https://cdn.vietqr.io/img/CAKE.png" TargetMode="External"/><Relationship Id="rId58" Type="http://schemas.openxmlformats.org/officeDocument/2006/relationships/hyperlink" Target="https://vietqr.net/portal-service/resources/icons/TIMO.png" TargetMode="External"/><Relationship Id="rId66" Type="http://schemas.openxmlformats.org/officeDocument/2006/relationships/table" Target="../tables/table2.xml"/><Relationship Id="rId5" Type="http://schemas.openxmlformats.org/officeDocument/2006/relationships/hyperlink" Target="https://cdn.vietqr.io/img/BVB.png" TargetMode="External"/><Relationship Id="rId61" Type="http://schemas.openxmlformats.org/officeDocument/2006/relationships/hyperlink" Target="https://cdn.vietqr.io/img/KEBHANAHN.png" TargetMode="External"/><Relationship Id="rId19" Type="http://schemas.openxmlformats.org/officeDocument/2006/relationships/hyperlink" Target="https://cdn.vietqr.io/img/KLB.png" TargetMode="External"/><Relationship Id="rId14" Type="http://schemas.openxmlformats.org/officeDocument/2006/relationships/hyperlink" Target="https://cdn.vietqr.io/img/HSBC.png" TargetMode="External"/><Relationship Id="rId22" Type="http://schemas.openxmlformats.org/officeDocument/2006/relationships/hyperlink" Target="https://cdn.vietqr.io/img/MSB.png" TargetMode="External"/><Relationship Id="rId27" Type="http://schemas.openxmlformats.org/officeDocument/2006/relationships/hyperlink" Target="https://cdn.vietqr.io/img/MBV.png" TargetMode="External"/><Relationship Id="rId30" Type="http://schemas.openxmlformats.org/officeDocument/2006/relationships/hyperlink" Target="https://cdn.vietqr.io/img/PVCB.png" TargetMode="External"/><Relationship Id="rId35" Type="http://schemas.openxmlformats.org/officeDocument/2006/relationships/hyperlink" Target="https://cdn.vietqr.io/img/SHB.png" TargetMode="External"/><Relationship Id="rId43" Type="http://schemas.openxmlformats.org/officeDocument/2006/relationships/hyperlink" Target="https://cdn.vietqr.io/img/VCB.png" TargetMode="External"/><Relationship Id="rId48" Type="http://schemas.openxmlformats.org/officeDocument/2006/relationships/hyperlink" Target="https://cdn.vietqr.io/img/VRB.png" TargetMode="External"/><Relationship Id="rId56" Type="http://schemas.openxmlformats.org/officeDocument/2006/relationships/hyperlink" Target="https://cdn.vietqr.io/img/VNPTMONEY.png" TargetMode="External"/><Relationship Id="rId64" Type="http://schemas.openxmlformats.org/officeDocument/2006/relationships/hyperlink" Target="https://cdn.vietqr.io/img/PVCB.png" TargetMode="External"/><Relationship Id="rId8" Type="http://schemas.openxmlformats.org/officeDocument/2006/relationships/hyperlink" Target="https://cdn.vietqr.io/img/DBS.png" TargetMode="External"/><Relationship Id="rId51" Type="http://schemas.openxmlformats.org/officeDocument/2006/relationships/hyperlink" Target="https://cdn.vietqr.io/img/KBHCM.png" TargetMode="External"/><Relationship Id="rId3" Type="http://schemas.openxmlformats.org/officeDocument/2006/relationships/hyperlink" Target="https://cdn.vietqr.io/img/BAB.png" TargetMode="External"/><Relationship Id="rId12" Type="http://schemas.openxmlformats.org/officeDocument/2006/relationships/hyperlink" Target="https://cdn.vietqr.io/img/HDB.png" TargetMode="External"/><Relationship Id="rId17" Type="http://schemas.openxmlformats.org/officeDocument/2006/relationships/hyperlink" Target="https://cdn.vietqr.io/img/ICB.png" TargetMode="External"/><Relationship Id="rId25" Type="http://schemas.openxmlformats.org/officeDocument/2006/relationships/hyperlink" Target="https://cdn.vietqr.io/img/NHB.png" TargetMode="External"/><Relationship Id="rId33" Type="http://schemas.openxmlformats.org/officeDocument/2006/relationships/hyperlink" Target="https://cdn.vietqr.io/img/SEAB.png" TargetMode="External"/><Relationship Id="rId38" Type="http://schemas.openxmlformats.org/officeDocument/2006/relationships/hyperlink" Target="https://cdn.vietqr.io/img/TCB.png" TargetMode="External"/><Relationship Id="rId46" Type="http://schemas.openxmlformats.org/officeDocument/2006/relationships/hyperlink" Target="https://cdn.vietqr.io/img/VIETBANK.png" TargetMode="External"/><Relationship Id="rId59" Type="http://schemas.openxmlformats.org/officeDocument/2006/relationships/hyperlink" Target="https://cdn.vietqr.io/img/CITIBANK.png" TargetMode="External"/><Relationship Id="rId20" Type="http://schemas.openxmlformats.org/officeDocument/2006/relationships/hyperlink" Target="https://cdn.vietqr.io/img/LPB.png" TargetMode="External"/><Relationship Id="rId41" Type="http://schemas.openxmlformats.org/officeDocument/2006/relationships/hyperlink" Target="https://cdn.vietqr.io/img/VAB.png" TargetMode="External"/><Relationship Id="rId54" Type="http://schemas.openxmlformats.org/officeDocument/2006/relationships/hyperlink" Target="https://cdn.vietqr.io/img/UBANK.png" TargetMode="External"/><Relationship Id="rId62" Type="http://schemas.openxmlformats.org/officeDocument/2006/relationships/hyperlink" Target="https://cdn.vietqr.io/img/MAFC.png" TargetMode="External"/><Relationship Id="rId1" Type="http://schemas.openxmlformats.org/officeDocument/2006/relationships/hyperlink" Target="https://cdn.vietqr.io/img/ABB.png" TargetMode="External"/><Relationship Id="rId6" Type="http://schemas.openxmlformats.org/officeDocument/2006/relationships/hyperlink" Target="https://cdn.vietqr.io/img/CBB.png" TargetMode="External"/><Relationship Id="rId15" Type="http://schemas.openxmlformats.org/officeDocument/2006/relationships/hyperlink" Target="https://cdn.vietqr.io/img/IBK.png" TargetMode="External"/><Relationship Id="rId23" Type="http://schemas.openxmlformats.org/officeDocument/2006/relationships/hyperlink" Target="https://cdn.vietqr.io/img/NAB.png" TargetMode="External"/><Relationship Id="rId28" Type="http://schemas.openxmlformats.org/officeDocument/2006/relationships/hyperlink" Target="https://cdn.vietqr.io/img/PBVN.png" TargetMode="External"/><Relationship Id="rId36" Type="http://schemas.openxmlformats.org/officeDocument/2006/relationships/hyperlink" Target="https://cdn.vietqr.io/img/STB.png" TargetMode="External"/><Relationship Id="rId49" Type="http://schemas.openxmlformats.org/officeDocument/2006/relationships/hyperlink" Target="https://cdn.vietqr.io/img/WVN.png" TargetMode="External"/><Relationship Id="rId57" Type="http://schemas.openxmlformats.org/officeDocument/2006/relationships/hyperlink" Target="https://cdn.vietqr.io/img/VIETTELMONEY.png" TargetMode="External"/><Relationship Id="rId10" Type="http://schemas.openxmlformats.org/officeDocument/2006/relationships/hyperlink" Target="https://cdn.vietqr.io/img/EIB.png" TargetMode="External"/><Relationship Id="rId31" Type="http://schemas.openxmlformats.org/officeDocument/2006/relationships/hyperlink" Target="https://cdn.vietqr.io/img/SCB.png" TargetMode="External"/><Relationship Id="rId44" Type="http://schemas.openxmlformats.org/officeDocument/2006/relationships/hyperlink" Target="https://cdn.vietqr.io/img/VCCB.png" TargetMode="External"/><Relationship Id="rId52" Type="http://schemas.openxmlformats.org/officeDocument/2006/relationships/hyperlink" Target="https://cdn.vietqr.io/img/COOPBANK.png" TargetMode="External"/><Relationship Id="rId60" Type="http://schemas.openxmlformats.org/officeDocument/2006/relationships/hyperlink" Target="https://cdn.vietqr.io/img/KEBHANAHCM.png" TargetMode="External"/><Relationship Id="rId65" Type="http://schemas.openxmlformats.org/officeDocument/2006/relationships/hyperlink" Target="https://cdn.vietqr.io/img/momo.png" TargetMode="External"/><Relationship Id="rId4" Type="http://schemas.openxmlformats.org/officeDocument/2006/relationships/hyperlink" Target="https://cdn.vietqr.io/img/BIDV.png" TargetMode="External"/><Relationship Id="rId9" Type="http://schemas.openxmlformats.org/officeDocument/2006/relationships/hyperlink" Target="https://cdn.vietqr.io/img/Vikki.png" TargetMode="External"/><Relationship Id="rId13" Type="http://schemas.openxmlformats.org/officeDocument/2006/relationships/hyperlink" Target="https://cdn.vietqr.io/img/HLBVN.png" TargetMode="External"/><Relationship Id="rId18" Type="http://schemas.openxmlformats.org/officeDocument/2006/relationships/hyperlink" Target="https://cdn.vietqr.io/img/IVB.png" TargetMode="External"/><Relationship Id="rId39" Type="http://schemas.openxmlformats.org/officeDocument/2006/relationships/hyperlink" Target="https://cdn.vietqr.io/img/TPB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pane ySplit="1" topLeftCell="A5" activePane="bottomLeft" state="frozen"/>
      <selection pane="bottomLeft" activeCell="B7" sqref="B7:B20"/>
    </sheetView>
  </sheetViews>
  <sheetFormatPr defaultColWidth="14.44140625" defaultRowHeight="15" customHeight="1" x14ac:dyDescent="0.3"/>
  <cols>
    <col min="1" max="1" width="35.33203125" customWidth="1"/>
    <col min="2" max="2" width="94.33203125" customWidth="1"/>
    <col min="3" max="5" width="8.88671875" customWidth="1"/>
    <col min="6" max="6" width="19.109375" customWidth="1"/>
    <col min="7" max="26" width="8.6640625" customWidth="1"/>
  </cols>
  <sheetData>
    <row r="1" spans="1:26" ht="25.5" customHeight="1" x14ac:dyDescent="0.5">
      <c r="A1" s="1" t="s">
        <v>13</v>
      </c>
      <c r="B1" s="22">
        <v>25000</v>
      </c>
      <c r="C1" s="2"/>
      <c r="D1" s="2"/>
      <c r="E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hidden="1" customHeight="1" x14ac:dyDescent="0.5">
      <c r="A2" s="4" t="s">
        <v>0</v>
      </c>
      <c r="B2" s="5" t="e">
        <f>+VLOOKUP($A$1,List_bank!$B:$G,5,0)</f>
        <v>#N/A</v>
      </c>
      <c r="C2" s="2"/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hidden="1" customHeight="1" x14ac:dyDescent="0.5">
      <c r="A3" s="4" t="s">
        <v>1</v>
      </c>
      <c r="B3" s="5" t="e">
        <f>+VLOOKUP($A$1,List_bank!$B:$G,2,0)</f>
        <v>#N/A</v>
      </c>
      <c r="C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hidden="1" customHeight="1" x14ac:dyDescent="0.5">
      <c r="A4" s="4" t="s">
        <v>2</v>
      </c>
      <c r="B4" s="23" t="s">
        <v>23</v>
      </c>
      <c r="C4" s="2"/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 x14ac:dyDescent="0.5">
      <c r="A5" s="6" t="e">
        <f>HYPERLINK(B5, "🔗 Link_qr")</f>
        <v>#N/A</v>
      </c>
      <c r="B5" s="7" t="e">
        <f>"https://img.vietqr.io/image/"&amp;B2&amp;"-"&amp;B3&amp;"-"&amp;B4&amp;".png?amount="&amp;B1&amp;""</f>
        <v>#N/A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 x14ac:dyDescent="0.5">
      <c r="A6" s="8" t="str">
        <f>HYPERLINK("https://api.vietqr.io/v2/banks", "🔗 Viet_qr.io")</f>
        <v>🔗 Viet_qr.io</v>
      </c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 x14ac:dyDescent="0.5">
      <c r="A7" s="8" t="str">
        <f>HYPERLINK("https://my.payos.vn/", "🔗 Pay_os")</f>
        <v>🔗 Pay_os</v>
      </c>
      <c r="B7" s="25" t="e">
        <f>_xlfn.IMAGE(B5)</f>
        <v>#N/A</v>
      </c>
      <c r="C7" s="2"/>
      <c r="D7" s="2"/>
      <c r="E7" s="2"/>
      <c r="F7" s="1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 x14ac:dyDescent="0.5">
      <c r="A8" s="8" t="str">
        <f>HYPERLINK("https://my.vietqr.io/", "🔗 Template")</f>
        <v>🔗 Template</v>
      </c>
      <c r="B8" s="26"/>
      <c r="C8" s="2"/>
      <c r="D8" s="2"/>
      <c r="E8" s="2"/>
      <c r="F8" s="1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 x14ac:dyDescent="0.5">
      <c r="A9" s="11"/>
      <c r="B9" s="26"/>
      <c r="C9" s="2"/>
      <c r="D9" s="2"/>
      <c r="E9" s="2"/>
      <c r="F9" s="1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 x14ac:dyDescent="0.5">
      <c r="A10" s="2"/>
      <c r="B10" s="26"/>
      <c r="C10" s="2"/>
      <c r="D10" s="2"/>
      <c r="E10" s="2"/>
      <c r="F10" s="1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 x14ac:dyDescent="0.5">
      <c r="A11" s="2"/>
      <c r="B11" s="26"/>
      <c r="C11" s="2"/>
      <c r="D11" s="2"/>
      <c r="E11" s="2"/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 x14ac:dyDescent="0.5">
      <c r="A12" s="2"/>
      <c r="B12" s="2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 x14ac:dyDescent="0.5">
      <c r="A13" s="2"/>
      <c r="B13" s="2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 x14ac:dyDescent="0.5">
      <c r="A14" s="2"/>
      <c r="B14" s="2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 x14ac:dyDescent="0.5">
      <c r="A15" s="2"/>
      <c r="B15" s="2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 x14ac:dyDescent="0.5">
      <c r="A16" s="2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 x14ac:dyDescent="0.5">
      <c r="A17" s="2"/>
      <c r="B17" s="2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 x14ac:dyDescent="0.5">
      <c r="A18" s="2"/>
      <c r="B18" s="2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 x14ac:dyDescent="0.5">
      <c r="A19" s="2"/>
      <c r="B19" s="2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 x14ac:dyDescent="0.5">
      <c r="A20" s="2"/>
      <c r="B20" s="2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 x14ac:dyDescent="0.5">
      <c r="A21" s="2"/>
      <c r="B21" s="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 x14ac:dyDescent="0.5">
      <c r="A22" s="2"/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 x14ac:dyDescent="0.5">
      <c r="A23" s="2">
        <v>988910</v>
      </c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 x14ac:dyDescent="0.5">
      <c r="A24" s="2">
        <v>414079</v>
      </c>
      <c r="B24" s="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 x14ac:dyDescent="0.5">
      <c r="A25" s="2">
        <f>A23-A24</f>
        <v>574831</v>
      </c>
      <c r="B25" s="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 x14ac:dyDescent="0.5">
      <c r="A26" s="2"/>
      <c r="B26" s="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 x14ac:dyDescent="0.5">
      <c r="A27" s="2"/>
      <c r="B27" s="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 x14ac:dyDescent="0.5">
      <c r="A28" s="2"/>
      <c r="B28" s="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 x14ac:dyDescent="0.5">
      <c r="A29" s="2"/>
      <c r="B29" s="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 x14ac:dyDescent="0.5">
      <c r="A30" s="2"/>
      <c r="B30" s="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 x14ac:dyDescent="0.5">
      <c r="A31" s="2"/>
      <c r="B31" s="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 x14ac:dyDescent="0.5">
      <c r="A32" s="2"/>
      <c r="B32" s="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 x14ac:dyDescent="0.5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 x14ac:dyDescent="0.5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 x14ac:dyDescent="0.5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 x14ac:dyDescent="0.5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 x14ac:dyDescent="0.5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 x14ac:dyDescent="0.5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 x14ac:dyDescent="0.5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 x14ac:dyDescent="0.5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 x14ac:dyDescent="0.5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 x14ac:dyDescent="0.5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 x14ac:dyDescent="0.5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 x14ac:dyDescent="0.5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 x14ac:dyDescent="0.5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 x14ac:dyDescent="0.5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 x14ac:dyDescent="0.5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 x14ac:dyDescent="0.5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 x14ac:dyDescent="0.5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 x14ac:dyDescent="0.5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 x14ac:dyDescent="0.5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 x14ac:dyDescent="0.5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 x14ac:dyDescent="0.5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 x14ac:dyDescent="0.5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 x14ac:dyDescent="0.5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 x14ac:dyDescent="0.5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 x14ac:dyDescent="0.5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 x14ac:dyDescent="0.5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 x14ac:dyDescent="0.5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 x14ac:dyDescent="0.5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 x14ac:dyDescent="0.5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 x14ac:dyDescent="0.5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 x14ac:dyDescent="0.5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 x14ac:dyDescent="0.5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 x14ac:dyDescent="0.5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 x14ac:dyDescent="0.5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 x14ac:dyDescent="0.5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 x14ac:dyDescent="0.5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 x14ac:dyDescent="0.5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 x14ac:dyDescent="0.5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 x14ac:dyDescent="0.5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 x14ac:dyDescent="0.5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 x14ac:dyDescent="0.5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 x14ac:dyDescent="0.5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 x14ac:dyDescent="0.5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 x14ac:dyDescent="0.5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 x14ac:dyDescent="0.5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 x14ac:dyDescent="0.5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 x14ac:dyDescent="0.5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 x14ac:dyDescent="0.5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 x14ac:dyDescent="0.5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 x14ac:dyDescent="0.5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 x14ac:dyDescent="0.5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 x14ac:dyDescent="0.5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 x14ac:dyDescent="0.5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 x14ac:dyDescent="0.5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 x14ac:dyDescent="0.5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 x14ac:dyDescent="0.5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 x14ac:dyDescent="0.5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 x14ac:dyDescent="0.5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 x14ac:dyDescent="0.5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 x14ac:dyDescent="0.5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 x14ac:dyDescent="0.5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 x14ac:dyDescent="0.5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 x14ac:dyDescent="0.5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 x14ac:dyDescent="0.5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 x14ac:dyDescent="0.5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 x14ac:dyDescent="0.5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 x14ac:dyDescent="0.5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 x14ac:dyDescent="0.5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 x14ac:dyDescent="0.5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 x14ac:dyDescent="0.5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 x14ac:dyDescent="0.5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 x14ac:dyDescent="0.5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 x14ac:dyDescent="0.5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 x14ac:dyDescent="0.5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 x14ac:dyDescent="0.5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 x14ac:dyDescent="0.5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 x14ac:dyDescent="0.5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 x14ac:dyDescent="0.5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 x14ac:dyDescent="0.5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 x14ac:dyDescent="0.5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 x14ac:dyDescent="0.5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 x14ac:dyDescent="0.5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 x14ac:dyDescent="0.5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 x14ac:dyDescent="0.5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 x14ac:dyDescent="0.5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 x14ac:dyDescent="0.5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 x14ac:dyDescent="0.5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 x14ac:dyDescent="0.5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 x14ac:dyDescent="0.5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 x14ac:dyDescent="0.5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 x14ac:dyDescent="0.5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 x14ac:dyDescent="0.5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 x14ac:dyDescent="0.5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 x14ac:dyDescent="0.5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 x14ac:dyDescent="0.5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 x14ac:dyDescent="0.5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 x14ac:dyDescent="0.5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 x14ac:dyDescent="0.5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 x14ac:dyDescent="0.5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 x14ac:dyDescent="0.5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 x14ac:dyDescent="0.5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 x14ac:dyDescent="0.5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 x14ac:dyDescent="0.5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 x14ac:dyDescent="0.5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 x14ac:dyDescent="0.5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 x14ac:dyDescent="0.5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 x14ac:dyDescent="0.5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 x14ac:dyDescent="0.5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 x14ac:dyDescent="0.5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 x14ac:dyDescent="0.5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 x14ac:dyDescent="0.5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 x14ac:dyDescent="0.5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 x14ac:dyDescent="0.5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 x14ac:dyDescent="0.5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 x14ac:dyDescent="0.5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 x14ac:dyDescent="0.5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 x14ac:dyDescent="0.5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 x14ac:dyDescent="0.5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 x14ac:dyDescent="0.5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 x14ac:dyDescent="0.5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 x14ac:dyDescent="0.5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 x14ac:dyDescent="0.5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 x14ac:dyDescent="0.5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 x14ac:dyDescent="0.5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 x14ac:dyDescent="0.5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 x14ac:dyDescent="0.5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 x14ac:dyDescent="0.5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 x14ac:dyDescent="0.5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 x14ac:dyDescent="0.5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 x14ac:dyDescent="0.5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 x14ac:dyDescent="0.5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 x14ac:dyDescent="0.5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 x14ac:dyDescent="0.5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 x14ac:dyDescent="0.5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 x14ac:dyDescent="0.5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 x14ac:dyDescent="0.5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 x14ac:dyDescent="0.5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 x14ac:dyDescent="0.5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 x14ac:dyDescent="0.5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 x14ac:dyDescent="0.5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 x14ac:dyDescent="0.5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 x14ac:dyDescent="0.5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 x14ac:dyDescent="0.5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 x14ac:dyDescent="0.5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 x14ac:dyDescent="0.5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 x14ac:dyDescent="0.5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 x14ac:dyDescent="0.5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 x14ac:dyDescent="0.5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 x14ac:dyDescent="0.5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 x14ac:dyDescent="0.5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 x14ac:dyDescent="0.5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 x14ac:dyDescent="0.5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 x14ac:dyDescent="0.5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 x14ac:dyDescent="0.5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 x14ac:dyDescent="0.5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 x14ac:dyDescent="0.5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 x14ac:dyDescent="0.5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 x14ac:dyDescent="0.5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 x14ac:dyDescent="0.5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 x14ac:dyDescent="0.5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 x14ac:dyDescent="0.5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 x14ac:dyDescent="0.5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 x14ac:dyDescent="0.5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 x14ac:dyDescent="0.5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 x14ac:dyDescent="0.5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 x14ac:dyDescent="0.5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 x14ac:dyDescent="0.5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 x14ac:dyDescent="0.5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 x14ac:dyDescent="0.5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 x14ac:dyDescent="0.5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 x14ac:dyDescent="0.5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 x14ac:dyDescent="0.5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 x14ac:dyDescent="0.5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 x14ac:dyDescent="0.5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 x14ac:dyDescent="0.5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 x14ac:dyDescent="0.5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 x14ac:dyDescent="0.5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 x14ac:dyDescent="0.5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 x14ac:dyDescent="0.5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 x14ac:dyDescent="0.5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 x14ac:dyDescent="0.5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 x14ac:dyDescent="0.5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 x14ac:dyDescent="0.5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 x14ac:dyDescent="0.5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 x14ac:dyDescent="0.5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 x14ac:dyDescent="0.5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 x14ac:dyDescent="0.5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 x14ac:dyDescent="0.5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 x14ac:dyDescent="0.5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 x14ac:dyDescent="0.5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 x14ac:dyDescent="0.5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 x14ac:dyDescent="0.5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 x14ac:dyDescent="0.5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 x14ac:dyDescent="0.5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 x14ac:dyDescent="0.5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 x14ac:dyDescent="0.5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 x14ac:dyDescent="0.5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 x14ac:dyDescent="0.5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 x14ac:dyDescent="0.5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 x14ac:dyDescent="0.5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 x14ac:dyDescent="0.5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 x14ac:dyDescent="0.5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 x14ac:dyDescent="0.5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 x14ac:dyDescent="0.5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 x14ac:dyDescent="0.5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 x14ac:dyDescent="0.5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 x14ac:dyDescent="0.5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 x14ac:dyDescent="0.5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 x14ac:dyDescent="0.5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 x14ac:dyDescent="0.5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 x14ac:dyDescent="0.5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 x14ac:dyDescent="0.5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 x14ac:dyDescent="0.5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 x14ac:dyDescent="0.5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 x14ac:dyDescent="0.5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 x14ac:dyDescent="0.5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 x14ac:dyDescent="0.5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 x14ac:dyDescent="0.5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 x14ac:dyDescent="0.5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 x14ac:dyDescent="0.5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 x14ac:dyDescent="0.5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 x14ac:dyDescent="0.5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 x14ac:dyDescent="0.5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 x14ac:dyDescent="0.5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 x14ac:dyDescent="0.5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 x14ac:dyDescent="0.5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 x14ac:dyDescent="0.5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 x14ac:dyDescent="0.5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 x14ac:dyDescent="0.5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 x14ac:dyDescent="0.5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 x14ac:dyDescent="0.5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 x14ac:dyDescent="0.5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 x14ac:dyDescent="0.5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 x14ac:dyDescent="0.5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 x14ac:dyDescent="0.5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 x14ac:dyDescent="0.5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 x14ac:dyDescent="0.5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 x14ac:dyDescent="0.5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 x14ac:dyDescent="0.5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 x14ac:dyDescent="0.5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 x14ac:dyDescent="0.5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 x14ac:dyDescent="0.5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 x14ac:dyDescent="0.5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 x14ac:dyDescent="0.5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 x14ac:dyDescent="0.5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 x14ac:dyDescent="0.5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 x14ac:dyDescent="0.5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 x14ac:dyDescent="0.5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 x14ac:dyDescent="0.5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 x14ac:dyDescent="0.5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 x14ac:dyDescent="0.5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 x14ac:dyDescent="0.5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 x14ac:dyDescent="0.5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 x14ac:dyDescent="0.5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 x14ac:dyDescent="0.5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 x14ac:dyDescent="0.5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 x14ac:dyDescent="0.5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 x14ac:dyDescent="0.5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 x14ac:dyDescent="0.5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 x14ac:dyDescent="0.5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 x14ac:dyDescent="0.5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 x14ac:dyDescent="0.5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 x14ac:dyDescent="0.5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 x14ac:dyDescent="0.5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 x14ac:dyDescent="0.5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 x14ac:dyDescent="0.5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 x14ac:dyDescent="0.5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 x14ac:dyDescent="0.5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 x14ac:dyDescent="0.5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 x14ac:dyDescent="0.5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 x14ac:dyDescent="0.5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 x14ac:dyDescent="0.5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 x14ac:dyDescent="0.5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 x14ac:dyDescent="0.5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 x14ac:dyDescent="0.5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 x14ac:dyDescent="0.5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 x14ac:dyDescent="0.5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 x14ac:dyDescent="0.5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 x14ac:dyDescent="0.5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 x14ac:dyDescent="0.5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 x14ac:dyDescent="0.5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 x14ac:dyDescent="0.5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 x14ac:dyDescent="0.5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 x14ac:dyDescent="0.5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 x14ac:dyDescent="0.5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 x14ac:dyDescent="0.5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 x14ac:dyDescent="0.5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 x14ac:dyDescent="0.5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 x14ac:dyDescent="0.5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 x14ac:dyDescent="0.5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 x14ac:dyDescent="0.5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 x14ac:dyDescent="0.5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 x14ac:dyDescent="0.5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 x14ac:dyDescent="0.5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 x14ac:dyDescent="0.5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 x14ac:dyDescent="0.5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 x14ac:dyDescent="0.5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 x14ac:dyDescent="0.5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 x14ac:dyDescent="0.5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 x14ac:dyDescent="0.5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 x14ac:dyDescent="0.5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 x14ac:dyDescent="0.5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 x14ac:dyDescent="0.5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 x14ac:dyDescent="0.5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 x14ac:dyDescent="0.5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 x14ac:dyDescent="0.5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 x14ac:dyDescent="0.5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 x14ac:dyDescent="0.5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 x14ac:dyDescent="0.5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 x14ac:dyDescent="0.5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 x14ac:dyDescent="0.5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 x14ac:dyDescent="0.5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 x14ac:dyDescent="0.5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 x14ac:dyDescent="0.5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 x14ac:dyDescent="0.5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 x14ac:dyDescent="0.5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 x14ac:dyDescent="0.5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 x14ac:dyDescent="0.5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 x14ac:dyDescent="0.5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 x14ac:dyDescent="0.5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 x14ac:dyDescent="0.5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 x14ac:dyDescent="0.5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 x14ac:dyDescent="0.5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 x14ac:dyDescent="0.5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 x14ac:dyDescent="0.5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 x14ac:dyDescent="0.5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 x14ac:dyDescent="0.5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 x14ac:dyDescent="0.5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 x14ac:dyDescent="0.5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 x14ac:dyDescent="0.5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 x14ac:dyDescent="0.5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 x14ac:dyDescent="0.5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 x14ac:dyDescent="0.5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 x14ac:dyDescent="0.5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 x14ac:dyDescent="0.5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 x14ac:dyDescent="0.5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 x14ac:dyDescent="0.5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 x14ac:dyDescent="0.5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 x14ac:dyDescent="0.5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 x14ac:dyDescent="0.5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 x14ac:dyDescent="0.5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 x14ac:dyDescent="0.5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 x14ac:dyDescent="0.5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 x14ac:dyDescent="0.5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 x14ac:dyDescent="0.5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 x14ac:dyDescent="0.5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 x14ac:dyDescent="0.5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 x14ac:dyDescent="0.5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 x14ac:dyDescent="0.5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 x14ac:dyDescent="0.5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 x14ac:dyDescent="0.5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 x14ac:dyDescent="0.5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 x14ac:dyDescent="0.5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 x14ac:dyDescent="0.5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 x14ac:dyDescent="0.5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 x14ac:dyDescent="0.5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 x14ac:dyDescent="0.5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 x14ac:dyDescent="0.5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 x14ac:dyDescent="0.5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 x14ac:dyDescent="0.5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 x14ac:dyDescent="0.5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 x14ac:dyDescent="0.5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 x14ac:dyDescent="0.5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 x14ac:dyDescent="0.5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 x14ac:dyDescent="0.5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 x14ac:dyDescent="0.5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 x14ac:dyDescent="0.5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 x14ac:dyDescent="0.5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 x14ac:dyDescent="0.5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 x14ac:dyDescent="0.5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 x14ac:dyDescent="0.5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 x14ac:dyDescent="0.5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 x14ac:dyDescent="0.5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 x14ac:dyDescent="0.5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 x14ac:dyDescent="0.5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 x14ac:dyDescent="0.5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 x14ac:dyDescent="0.5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 x14ac:dyDescent="0.5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 x14ac:dyDescent="0.5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 x14ac:dyDescent="0.5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 x14ac:dyDescent="0.5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 x14ac:dyDescent="0.5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 x14ac:dyDescent="0.5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 x14ac:dyDescent="0.5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 x14ac:dyDescent="0.5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 x14ac:dyDescent="0.5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 x14ac:dyDescent="0.5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 x14ac:dyDescent="0.5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 x14ac:dyDescent="0.5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 x14ac:dyDescent="0.5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 x14ac:dyDescent="0.5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 x14ac:dyDescent="0.5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 x14ac:dyDescent="0.5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 x14ac:dyDescent="0.5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 x14ac:dyDescent="0.5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 x14ac:dyDescent="0.5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 x14ac:dyDescent="0.5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 x14ac:dyDescent="0.5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 x14ac:dyDescent="0.5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 x14ac:dyDescent="0.5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 x14ac:dyDescent="0.5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 x14ac:dyDescent="0.5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 x14ac:dyDescent="0.5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 x14ac:dyDescent="0.5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 x14ac:dyDescent="0.5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 x14ac:dyDescent="0.5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 x14ac:dyDescent="0.5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 x14ac:dyDescent="0.5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 x14ac:dyDescent="0.5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 x14ac:dyDescent="0.5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 x14ac:dyDescent="0.5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 x14ac:dyDescent="0.5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 x14ac:dyDescent="0.5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 x14ac:dyDescent="0.5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 x14ac:dyDescent="0.5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 x14ac:dyDescent="0.5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 x14ac:dyDescent="0.5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 x14ac:dyDescent="0.5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 x14ac:dyDescent="0.5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 x14ac:dyDescent="0.5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 x14ac:dyDescent="0.5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 x14ac:dyDescent="0.5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 x14ac:dyDescent="0.5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 x14ac:dyDescent="0.5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 x14ac:dyDescent="0.5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 x14ac:dyDescent="0.5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 x14ac:dyDescent="0.5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 x14ac:dyDescent="0.5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 x14ac:dyDescent="0.5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 x14ac:dyDescent="0.5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 x14ac:dyDescent="0.5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 x14ac:dyDescent="0.5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 x14ac:dyDescent="0.5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 x14ac:dyDescent="0.5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 x14ac:dyDescent="0.5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 x14ac:dyDescent="0.5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 x14ac:dyDescent="0.5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 x14ac:dyDescent="0.5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 x14ac:dyDescent="0.5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 x14ac:dyDescent="0.5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 x14ac:dyDescent="0.5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 x14ac:dyDescent="0.5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 x14ac:dyDescent="0.5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 x14ac:dyDescent="0.5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 x14ac:dyDescent="0.5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 x14ac:dyDescent="0.5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 x14ac:dyDescent="0.5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 x14ac:dyDescent="0.5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 x14ac:dyDescent="0.5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 x14ac:dyDescent="0.5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 x14ac:dyDescent="0.5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 x14ac:dyDescent="0.5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 x14ac:dyDescent="0.5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 x14ac:dyDescent="0.5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 x14ac:dyDescent="0.5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 x14ac:dyDescent="0.5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 x14ac:dyDescent="0.5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 x14ac:dyDescent="0.5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 x14ac:dyDescent="0.5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 x14ac:dyDescent="0.5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 x14ac:dyDescent="0.5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 x14ac:dyDescent="0.5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 x14ac:dyDescent="0.5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 x14ac:dyDescent="0.5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 x14ac:dyDescent="0.5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 x14ac:dyDescent="0.5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 x14ac:dyDescent="0.5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 x14ac:dyDescent="0.5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 x14ac:dyDescent="0.5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 x14ac:dyDescent="0.5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 x14ac:dyDescent="0.5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 x14ac:dyDescent="0.5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 x14ac:dyDescent="0.5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 x14ac:dyDescent="0.5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 x14ac:dyDescent="0.5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 x14ac:dyDescent="0.5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 x14ac:dyDescent="0.5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 x14ac:dyDescent="0.5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 x14ac:dyDescent="0.5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 x14ac:dyDescent="0.5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 x14ac:dyDescent="0.5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 x14ac:dyDescent="0.5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 x14ac:dyDescent="0.5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 x14ac:dyDescent="0.5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 x14ac:dyDescent="0.5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 x14ac:dyDescent="0.5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 x14ac:dyDescent="0.5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 x14ac:dyDescent="0.5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 x14ac:dyDescent="0.5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 x14ac:dyDescent="0.5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 x14ac:dyDescent="0.5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 x14ac:dyDescent="0.5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 x14ac:dyDescent="0.5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 x14ac:dyDescent="0.5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 x14ac:dyDescent="0.5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 x14ac:dyDescent="0.5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 x14ac:dyDescent="0.5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 x14ac:dyDescent="0.5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 x14ac:dyDescent="0.5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 x14ac:dyDescent="0.5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 x14ac:dyDescent="0.5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 x14ac:dyDescent="0.5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 x14ac:dyDescent="0.5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 x14ac:dyDescent="0.5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 x14ac:dyDescent="0.5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 x14ac:dyDescent="0.5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 x14ac:dyDescent="0.5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 x14ac:dyDescent="0.5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 x14ac:dyDescent="0.5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 x14ac:dyDescent="0.5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 x14ac:dyDescent="0.5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 x14ac:dyDescent="0.5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 x14ac:dyDescent="0.5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 x14ac:dyDescent="0.5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 x14ac:dyDescent="0.5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 x14ac:dyDescent="0.5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 x14ac:dyDescent="0.5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 x14ac:dyDescent="0.5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 x14ac:dyDescent="0.5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 x14ac:dyDescent="0.5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 x14ac:dyDescent="0.5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 x14ac:dyDescent="0.5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 x14ac:dyDescent="0.5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 x14ac:dyDescent="0.5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 x14ac:dyDescent="0.5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 x14ac:dyDescent="0.5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 x14ac:dyDescent="0.5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 x14ac:dyDescent="0.5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 x14ac:dyDescent="0.5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 x14ac:dyDescent="0.5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 x14ac:dyDescent="0.5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 x14ac:dyDescent="0.5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 x14ac:dyDescent="0.5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 x14ac:dyDescent="0.5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 x14ac:dyDescent="0.5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 x14ac:dyDescent="0.5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 x14ac:dyDescent="0.5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 x14ac:dyDescent="0.5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 x14ac:dyDescent="0.5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 x14ac:dyDescent="0.5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 x14ac:dyDescent="0.5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 x14ac:dyDescent="0.5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 x14ac:dyDescent="0.5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 x14ac:dyDescent="0.5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 x14ac:dyDescent="0.5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 x14ac:dyDescent="0.5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 x14ac:dyDescent="0.5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 x14ac:dyDescent="0.5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 x14ac:dyDescent="0.5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 x14ac:dyDescent="0.5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 x14ac:dyDescent="0.5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 x14ac:dyDescent="0.5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 x14ac:dyDescent="0.5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 x14ac:dyDescent="0.5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 x14ac:dyDescent="0.5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 x14ac:dyDescent="0.5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 x14ac:dyDescent="0.5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 x14ac:dyDescent="0.5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 x14ac:dyDescent="0.5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 x14ac:dyDescent="0.5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 x14ac:dyDescent="0.5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 x14ac:dyDescent="0.5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 x14ac:dyDescent="0.5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 x14ac:dyDescent="0.5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 x14ac:dyDescent="0.5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 x14ac:dyDescent="0.5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 x14ac:dyDescent="0.5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 x14ac:dyDescent="0.5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 x14ac:dyDescent="0.5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 x14ac:dyDescent="0.5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 x14ac:dyDescent="0.5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 x14ac:dyDescent="0.5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 x14ac:dyDescent="0.5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 x14ac:dyDescent="0.5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 x14ac:dyDescent="0.5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 x14ac:dyDescent="0.5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 x14ac:dyDescent="0.5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 x14ac:dyDescent="0.5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 x14ac:dyDescent="0.5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 x14ac:dyDescent="0.5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 x14ac:dyDescent="0.5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 x14ac:dyDescent="0.5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 x14ac:dyDescent="0.5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 x14ac:dyDescent="0.5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 x14ac:dyDescent="0.5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 x14ac:dyDescent="0.5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 x14ac:dyDescent="0.5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 x14ac:dyDescent="0.5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 x14ac:dyDescent="0.5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 x14ac:dyDescent="0.5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 x14ac:dyDescent="0.5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 x14ac:dyDescent="0.5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 x14ac:dyDescent="0.5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 x14ac:dyDescent="0.5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 x14ac:dyDescent="0.5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 x14ac:dyDescent="0.5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 x14ac:dyDescent="0.5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 x14ac:dyDescent="0.5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 x14ac:dyDescent="0.5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 x14ac:dyDescent="0.5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 x14ac:dyDescent="0.5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 x14ac:dyDescent="0.5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 x14ac:dyDescent="0.5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 x14ac:dyDescent="0.5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 x14ac:dyDescent="0.5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 x14ac:dyDescent="0.5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 x14ac:dyDescent="0.5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 x14ac:dyDescent="0.5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 x14ac:dyDescent="0.5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 x14ac:dyDescent="0.5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 x14ac:dyDescent="0.5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 x14ac:dyDescent="0.5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 x14ac:dyDescent="0.5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 x14ac:dyDescent="0.5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 x14ac:dyDescent="0.5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 x14ac:dyDescent="0.5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 x14ac:dyDescent="0.5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 x14ac:dyDescent="0.5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 x14ac:dyDescent="0.5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 x14ac:dyDescent="0.5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 x14ac:dyDescent="0.5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 x14ac:dyDescent="0.5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 x14ac:dyDescent="0.5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 x14ac:dyDescent="0.5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 x14ac:dyDescent="0.5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 x14ac:dyDescent="0.5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 x14ac:dyDescent="0.5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 x14ac:dyDescent="0.5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 x14ac:dyDescent="0.5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 x14ac:dyDescent="0.5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 x14ac:dyDescent="0.5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 x14ac:dyDescent="0.5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 x14ac:dyDescent="0.5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 x14ac:dyDescent="0.5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 x14ac:dyDescent="0.5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 x14ac:dyDescent="0.5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 x14ac:dyDescent="0.5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 x14ac:dyDescent="0.5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 x14ac:dyDescent="0.5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 x14ac:dyDescent="0.5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 x14ac:dyDescent="0.5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 x14ac:dyDescent="0.5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 x14ac:dyDescent="0.5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 x14ac:dyDescent="0.5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 x14ac:dyDescent="0.5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 x14ac:dyDescent="0.5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 x14ac:dyDescent="0.5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 x14ac:dyDescent="0.5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 x14ac:dyDescent="0.5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 x14ac:dyDescent="0.5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 x14ac:dyDescent="0.5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 x14ac:dyDescent="0.5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 x14ac:dyDescent="0.5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 x14ac:dyDescent="0.5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 x14ac:dyDescent="0.5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 x14ac:dyDescent="0.5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 x14ac:dyDescent="0.5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 x14ac:dyDescent="0.5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 x14ac:dyDescent="0.5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 x14ac:dyDescent="0.5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 x14ac:dyDescent="0.5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 x14ac:dyDescent="0.5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 x14ac:dyDescent="0.5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 x14ac:dyDescent="0.5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 x14ac:dyDescent="0.5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 x14ac:dyDescent="0.5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 x14ac:dyDescent="0.5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 x14ac:dyDescent="0.5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 x14ac:dyDescent="0.5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 x14ac:dyDescent="0.5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 x14ac:dyDescent="0.5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 x14ac:dyDescent="0.5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 x14ac:dyDescent="0.5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 x14ac:dyDescent="0.5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 x14ac:dyDescent="0.5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 x14ac:dyDescent="0.5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 x14ac:dyDescent="0.5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 x14ac:dyDescent="0.5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 x14ac:dyDescent="0.5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 x14ac:dyDescent="0.5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 x14ac:dyDescent="0.5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 x14ac:dyDescent="0.5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 x14ac:dyDescent="0.5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 x14ac:dyDescent="0.5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 x14ac:dyDescent="0.5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 x14ac:dyDescent="0.5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 x14ac:dyDescent="0.5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 x14ac:dyDescent="0.5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 x14ac:dyDescent="0.5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 x14ac:dyDescent="0.5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 x14ac:dyDescent="0.5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 x14ac:dyDescent="0.5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 x14ac:dyDescent="0.5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 x14ac:dyDescent="0.5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 x14ac:dyDescent="0.5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 x14ac:dyDescent="0.5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 x14ac:dyDescent="0.5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 x14ac:dyDescent="0.5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 x14ac:dyDescent="0.5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 x14ac:dyDescent="0.5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 x14ac:dyDescent="0.5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 x14ac:dyDescent="0.5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 x14ac:dyDescent="0.5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 x14ac:dyDescent="0.5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 x14ac:dyDescent="0.5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 x14ac:dyDescent="0.5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 x14ac:dyDescent="0.5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 x14ac:dyDescent="0.5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 x14ac:dyDescent="0.5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 x14ac:dyDescent="0.5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 x14ac:dyDescent="0.5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 x14ac:dyDescent="0.5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 x14ac:dyDescent="0.5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 x14ac:dyDescent="0.5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 x14ac:dyDescent="0.5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 x14ac:dyDescent="0.5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 x14ac:dyDescent="0.5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 x14ac:dyDescent="0.5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 x14ac:dyDescent="0.5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 x14ac:dyDescent="0.5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 x14ac:dyDescent="0.5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 x14ac:dyDescent="0.5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 x14ac:dyDescent="0.5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 x14ac:dyDescent="0.5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 x14ac:dyDescent="0.5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 x14ac:dyDescent="0.5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 x14ac:dyDescent="0.5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 x14ac:dyDescent="0.5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 x14ac:dyDescent="0.5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 x14ac:dyDescent="0.5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 x14ac:dyDescent="0.5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 x14ac:dyDescent="0.5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 x14ac:dyDescent="0.5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 x14ac:dyDescent="0.5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 x14ac:dyDescent="0.5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 x14ac:dyDescent="0.5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 x14ac:dyDescent="0.5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 x14ac:dyDescent="0.5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 x14ac:dyDescent="0.5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 x14ac:dyDescent="0.5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 x14ac:dyDescent="0.5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 x14ac:dyDescent="0.5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 x14ac:dyDescent="0.5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 x14ac:dyDescent="0.5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 x14ac:dyDescent="0.5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 x14ac:dyDescent="0.5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 x14ac:dyDescent="0.5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 x14ac:dyDescent="0.5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 x14ac:dyDescent="0.5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 x14ac:dyDescent="0.5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 x14ac:dyDescent="0.5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 x14ac:dyDescent="0.5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 x14ac:dyDescent="0.5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 x14ac:dyDescent="0.5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 x14ac:dyDescent="0.5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 x14ac:dyDescent="0.5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 x14ac:dyDescent="0.5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 x14ac:dyDescent="0.5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 x14ac:dyDescent="0.5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 x14ac:dyDescent="0.5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 x14ac:dyDescent="0.5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 x14ac:dyDescent="0.5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 x14ac:dyDescent="0.5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 x14ac:dyDescent="0.5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 x14ac:dyDescent="0.5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 x14ac:dyDescent="0.5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 x14ac:dyDescent="0.5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 x14ac:dyDescent="0.5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 x14ac:dyDescent="0.5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 x14ac:dyDescent="0.5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 x14ac:dyDescent="0.5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 x14ac:dyDescent="0.5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 x14ac:dyDescent="0.5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 x14ac:dyDescent="0.5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 x14ac:dyDescent="0.5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 x14ac:dyDescent="0.5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 x14ac:dyDescent="0.5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 x14ac:dyDescent="0.5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 x14ac:dyDescent="0.5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 x14ac:dyDescent="0.5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 x14ac:dyDescent="0.5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 x14ac:dyDescent="0.5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 x14ac:dyDescent="0.5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 x14ac:dyDescent="0.5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 x14ac:dyDescent="0.5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 x14ac:dyDescent="0.5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 x14ac:dyDescent="0.5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 x14ac:dyDescent="0.5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 x14ac:dyDescent="0.5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 x14ac:dyDescent="0.5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 x14ac:dyDescent="0.5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 x14ac:dyDescent="0.5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 x14ac:dyDescent="0.5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 x14ac:dyDescent="0.5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 x14ac:dyDescent="0.5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 x14ac:dyDescent="0.5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 x14ac:dyDescent="0.5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 x14ac:dyDescent="0.5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 x14ac:dyDescent="0.5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 x14ac:dyDescent="0.5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 x14ac:dyDescent="0.5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 x14ac:dyDescent="0.5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 x14ac:dyDescent="0.5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 x14ac:dyDescent="0.5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 x14ac:dyDescent="0.5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 x14ac:dyDescent="0.5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 x14ac:dyDescent="0.5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 x14ac:dyDescent="0.5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 x14ac:dyDescent="0.5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 x14ac:dyDescent="0.5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 x14ac:dyDescent="0.5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 x14ac:dyDescent="0.5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 x14ac:dyDescent="0.5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 x14ac:dyDescent="0.5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 x14ac:dyDescent="0.5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 x14ac:dyDescent="0.5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 x14ac:dyDescent="0.5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 x14ac:dyDescent="0.5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 x14ac:dyDescent="0.5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 x14ac:dyDescent="0.5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 x14ac:dyDescent="0.5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 x14ac:dyDescent="0.5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 x14ac:dyDescent="0.5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 x14ac:dyDescent="0.5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 x14ac:dyDescent="0.5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 x14ac:dyDescent="0.5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 x14ac:dyDescent="0.5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 x14ac:dyDescent="0.5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 x14ac:dyDescent="0.5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 x14ac:dyDescent="0.5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 x14ac:dyDescent="0.5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 x14ac:dyDescent="0.5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 x14ac:dyDescent="0.5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 x14ac:dyDescent="0.5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 x14ac:dyDescent="0.5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 x14ac:dyDescent="0.5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 x14ac:dyDescent="0.5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 x14ac:dyDescent="0.5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 x14ac:dyDescent="0.5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 x14ac:dyDescent="0.5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 x14ac:dyDescent="0.5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 x14ac:dyDescent="0.5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 x14ac:dyDescent="0.5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 x14ac:dyDescent="0.5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 x14ac:dyDescent="0.5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 x14ac:dyDescent="0.5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 x14ac:dyDescent="0.5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 x14ac:dyDescent="0.5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 x14ac:dyDescent="0.5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 x14ac:dyDescent="0.5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 x14ac:dyDescent="0.5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 x14ac:dyDescent="0.5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 x14ac:dyDescent="0.5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 x14ac:dyDescent="0.5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 x14ac:dyDescent="0.5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 x14ac:dyDescent="0.5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 x14ac:dyDescent="0.5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 x14ac:dyDescent="0.5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 x14ac:dyDescent="0.5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 x14ac:dyDescent="0.5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 x14ac:dyDescent="0.5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 x14ac:dyDescent="0.5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 x14ac:dyDescent="0.5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 x14ac:dyDescent="0.5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 x14ac:dyDescent="0.5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 x14ac:dyDescent="0.5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 x14ac:dyDescent="0.5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 x14ac:dyDescent="0.5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 x14ac:dyDescent="0.5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 x14ac:dyDescent="0.5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 x14ac:dyDescent="0.5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 x14ac:dyDescent="0.5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 x14ac:dyDescent="0.5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 x14ac:dyDescent="0.5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 x14ac:dyDescent="0.5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 x14ac:dyDescent="0.5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 x14ac:dyDescent="0.5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 x14ac:dyDescent="0.5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 x14ac:dyDescent="0.5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 x14ac:dyDescent="0.5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 x14ac:dyDescent="0.5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 x14ac:dyDescent="0.5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 x14ac:dyDescent="0.5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 x14ac:dyDescent="0.5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 x14ac:dyDescent="0.5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 x14ac:dyDescent="0.5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 x14ac:dyDescent="0.5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 x14ac:dyDescent="0.5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 x14ac:dyDescent="0.5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 x14ac:dyDescent="0.5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 x14ac:dyDescent="0.5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 x14ac:dyDescent="0.5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 x14ac:dyDescent="0.5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 x14ac:dyDescent="0.5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 x14ac:dyDescent="0.5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 x14ac:dyDescent="0.5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 x14ac:dyDescent="0.5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 x14ac:dyDescent="0.5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 x14ac:dyDescent="0.5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 x14ac:dyDescent="0.5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 x14ac:dyDescent="0.5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 x14ac:dyDescent="0.5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 x14ac:dyDescent="0.5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 x14ac:dyDescent="0.5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 x14ac:dyDescent="0.5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 x14ac:dyDescent="0.5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 x14ac:dyDescent="0.5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 x14ac:dyDescent="0.5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 x14ac:dyDescent="0.5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 x14ac:dyDescent="0.5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 x14ac:dyDescent="0.5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 x14ac:dyDescent="0.5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 x14ac:dyDescent="0.5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 x14ac:dyDescent="0.5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 x14ac:dyDescent="0.5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 x14ac:dyDescent="0.5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 x14ac:dyDescent="0.5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 x14ac:dyDescent="0.5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 x14ac:dyDescent="0.5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 x14ac:dyDescent="0.5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 x14ac:dyDescent="0.5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 x14ac:dyDescent="0.5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 x14ac:dyDescent="0.5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 x14ac:dyDescent="0.5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 x14ac:dyDescent="0.5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 x14ac:dyDescent="0.5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 x14ac:dyDescent="0.5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 x14ac:dyDescent="0.5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 x14ac:dyDescent="0.5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 x14ac:dyDescent="0.5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 x14ac:dyDescent="0.5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 x14ac:dyDescent="0.5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 x14ac:dyDescent="0.5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 x14ac:dyDescent="0.5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 x14ac:dyDescent="0.5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 x14ac:dyDescent="0.5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 x14ac:dyDescent="0.5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 x14ac:dyDescent="0.5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 x14ac:dyDescent="0.5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 x14ac:dyDescent="0.5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 x14ac:dyDescent="0.5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 x14ac:dyDescent="0.5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 x14ac:dyDescent="0.5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 x14ac:dyDescent="0.5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 x14ac:dyDescent="0.5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 x14ac:dyDescent="0.5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 x14ac:dyDescent="0.5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 x14ac:dyDescent="0.5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 x14ac:dyDescent="0.5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 x14ac:dyDescent="0.5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 x14ac:dyDescent="0.5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 x14ac:dyDescent="0.5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 x14ac:dyDescent="0.5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 x14ac:dyDescent="0.5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 x14ac:dyDescent="0.5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 x14ac:dyDescent="0.5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 x14ac:dyDescent="0.5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 x14ac:dyDescent="0.5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 x14ac:dyDescent="0.5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 x14ac:dyDescent="0.5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 x14ac:dyDescent="0.5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 x14ac:dyDescent="0.5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 x14ac:dyDescent="0.5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 x14ac:dyDescent="0.5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 x14ac:dyDescent="0.5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 x14ac:dyDescent="0.5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B7:B20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F1F612-C817-40E8-89E2-DD6FD2EAE730}">
          <x14:formula1>
            <xm:f>List_bank!B2:B1000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F79D-0025-4BD8-87B0-D6778D468807}">
  <dimension ref="A1:J101"/>
  <sheetViews>
    <sheetView tabSelected="1" zoomScale="130" zoomScaleNormal="130" workbookViewId="0">
      <selection activeCell="D7" sqref="D7"/>
    </sheetView>
  </sheetViews>
  <sheetFormatPr defaultRowHeight="14.4" x14ac:dyDescent="0.3"/>
  <cols>
    <col min="1" max="1" width="10" customWidth="1"/>
    <col min="2" max="2" width="11.109375" bestFit="1" customWidth="1"/>
    <col min="3" max="3" width="15.88671875" bestFit="1" customWidth="1"/>
    <col min="4" max="4" width="18.44140625" bestFit="1" customWidth="1"/>
    <col min="5" max="5" width="13.77734375" bestFit="1" customWidth="1"/>
    <col min="6" max="6" width="12.5546875" customWidth="1"/>
    <col min="7" max="7" width="11" customWidth="1"/>
    <col min="8" max="8" width="17.6640625" customWidth="1"/>
    <col min="9" max="9" width="39" bestFit="1" customWidth="1"/>
    <col min="10" max="10" width="18.33203125" customWidth="1"/>
  </cols>
  <sheetData>
    <row r="1" spans="1:10" s="17" customFormat="1" ht="22.5" customHeight="1" x14ac:dyDescent="0.3">
      <c r="A1" s="16" t="s">
        <v>3</v>
      </c>
      <c r="B1" s="18" t="s">
        <v>249</v>
      </c>
      <c r="C1" s="18" t="s">
        <v>250</v>
      </c>
      <c r="D1" s="18" t="s">
        <v>256</v>
      </c>
      <c r="E1" s="16" t="s">
        <v>4</v>
      </c>
      <c r="F1" s="16" t="s">
        <v>158</v>
      </c>
      <c r="G1" s="16" t="s">
        <v>6</v>
      </c>
      <c r="H1" s="16" t="s">
        <v>5</v>
      </c>
      <c r="I1" s="16" t="s">
        <v>7</v>
      </c>
      <c r="J1" s="16" t="s">
        <v>8</v>
      </c>
    </row>
    <row r="2" spans="1:10" x14ac:dyDescent="0.3">
      <c r="A2" s="21">
        <v>38</v>
      </c>
      <c r="B2" s="21" t="str">
        <f>IFERROR((VLOOKUP(Table1[[#This Row],[data__id]],'API - io'!$A:$H,3,0)),"-")</f>
        <v>TCB</v>
      </c>
      <c r="C2" s="21">
        <v>44699999999</v>
      </c>
      <c r="D2" s="21" t="s">
        <v>257</v>
      </c>
      <c r="E2" s="19" t="str">
        <f>IFERROR((VLOOKUP(Table1[[#This Row],[data__id]],'API - io'!$A:$H,5,0)),"-")</f>
        <v>Techcombank</v>
      </c>
      <c r="F2" s="19" t="str">
        <f>IFERROR((VLOOKUP(Table1[[#This Row],[data__id]],'API - io'!$A:$H,3,0)),"-")</f>
        <v>TCB</v>
      </c>
      <c r="G2" s="19">
        <f>IFERROR((VLOOKUP(A2,'API - io'!$A:$G,4,0)),"-")</f>
        <v>970407</v>
      </c>
      <c r="H2" s="19" t="str">
        <f>IFERROR((VLOOKUP(A2,'API - io'!$A:$G,5,0)),"-")</f>
        <v>Techcombank</v>
      </c>
      <c r="I2" s="20" t="str">
        <f>IFERROR((VLOOKUP(A2,'API - io'!$A:$G,6,0)),"-")</f>
        <v>https://cdn.vietqr.io/img/TCB.png</v>
      </c>
      <c r="J2" s="19" t="str">
        <f>IFERROR((VLOOKUP(A2,'API - io'!$A:$G,7,0)),"-")</f>
        <v>Techcombank</v>
      </c>
    </row>
    <row r="3" spans="1:10" x14ac:dyDescent="0.3">
      <c r="A3" s="21">
        <v>43</v>
      </c>
      <c r="B3" s="21" t="str">
        <f>IFERROR((VLOOKUP(Table1[[#This Row],[data__id]],'API - io'!$A:$H,3,0)),"-")</f>
        <v>VCB</v>
      </c>
      <c r="C3" s="21">
        <v>1031451081</v>
      </c>
      <c r="D3" s="21" t="s">
        <v>257</v>
      </c>
      <c r="E3" s="19" t="str">
        <f>IFERROR((VLOOKUP(Table1[[#This Row],[data__id]],'API - io'!$A:$H,5,0)),"-")</f>
        <v>Vietcombank</v>
      </c>
      <c r="F3" s="19" t="str">
        <f>IFERROR((VLOOKUP(Table1[[#This Row],[data__id]],'API - io'!$A:$H,3,0)),"-")</f>
        <v>VCB</v>
      </c>
      <c r="G3" s="19">
        <f>IFERROR((VLOOKUP(A3,'API - io'!$A:$G,4,0)),"-")</f>
        <v>970436</v>
      </c>
      <c r="H3" s="19" t="str">
        <f>IFERROR((VLOOKUP(A3,'API - io'!$A:$G,5,0)),"-")</f>
        <v>Vietcombank</v>
      </c>
      <c r="I3" s="20" t="str">
        <f>IFERROR((VLOOKUP(A3,'API - io'!$A:$G,6,0)),"-")</f>
        <v>https://cdn.vietqr.io/img/VCB.png</v>
      </c>
      <c r="J3" s="19" t="str">
        <f>IFERROR((VLOOKUP(A3,'API - io'!$A:$G,7,0)),"-")</f>
        <v>Vietcombank</v>
      </c>
    </row>
    <row r="4" spans="1:10" x14ac:dyDescent="0.3">
      <c r="A4" s="21"/>
      <c r="B4" s="21" t="str">
        <f>IFERROR((VLOOKUP(Table1[[#This Row],[data__id]],'API - io'!$A:$H,3,0)),"-")</f>
        <v>-</v>
      </c>
      <c r="C4" s="21"/>
      <c r="D4" s="21"/>
      <c r="E4" s="19" t="str">
        <f>IFERROR((VLOOKUP(Table1[[#This Row],[data__id]],'API - io'!$A:$H,5,0)),"-")</f>
        <v>-</v>
      </c>
      <c r="F4" s="19" t="str">
        <f>IFERROR((VLOOKUP(Table1[[#This Row],[data__id]],'API - io'!$A:$H,3,0)),"-")</f>
        <v>-</v>
      </c>
      <c r="G4" s="19" t="str">
        <f>IFERROR((VLOOKUP(A4,'API - io'!$A:$G,4,0)),"-")</f>
        <v>-</v>
      </c>
      <c r="H4" s="19" t="str">
        <f>IFERROR((VLOOKUP(A4,'API - io'!$A:$G,5,0)),"-")</f>
        <v>-</v>
      </c>
      <c r="I4" s="20" t="str">
        <f>IFERROR((VLOOKUP(A4,'API - io'!$A:$G,6,0)),"-")</f>
        <v>-</v>
      </c>
      <c r="J4" s="19" t="str">
        <f>IFERROR((VLOOKUP(A4,'API - io'!$A:$G,7,0)),"-")</f>
        <v>-</v>
      </c>
    </row>
    <row r="5" spans="1:10" x14ac:dyDescent="0.3">
      <c r="A5" s="21"/>
      <c r="B5" s="21" t="str">
        <f>IFERROR((VLOOKUP(Table1[[#This Row],[data__id]],'API - io'!$A:$H,3,0)),"-")</f>
        <v>-</v>
      </c>
      <c r="C5" s="21"/>
      <c r="D5" s="21"/>
      <c r="E5" s="19" t="str">
        <f>IFERROR((VLOOKUP(Table1[[#This Row],[data__id]],'API - io'!$A:$H,5,0)),"-")</f>
        <v>-</v>
      </c>
      <c r="F5" s="19" t="str">
        <f>IFERROR((VLOOKUP(Table1[[#This Row],[data__id]],'API - io'!$A:$H,3,0)),"-")</f>
        <v>-</v>
      </c>
      <c r="G5" s="19" t="str">
        <f>IFERROR((VLOOKUP(A5,'API - io'!$A:$G,4,0)),"-")</f>
        <v>-</v>
      </c>
      <c r="H5" s="19" t="str">
        <f>IFERROR((VLOOKUP(A5,'API - io'!$A:$G,5,0)),"-")</f>
        <v>-</v>
      </c>
      <c r="I5" s="20" t="str">
        <f>IFERROR((VLOOKUP(A5,'API - io'!$A:$G,6,0)),"-")</f>
        <v>-</v>
      </c>
      <c r="J5" s="19" t="str">
        <f>IFERROR((VLOOKUP(A5,'API - io'!$A:$G,7,0)),"-")</f>
        <v>-</v>
      </c>
    </row>
    <row r="6" spans="1:10" x14ac:dyDescent="0.3">
      <c r="A6" s="21"/>
      <c r="B6" s="21" t="str">
        <f>IFERROR((VLOOKUP(Table1[[#This Row],[data__id]],'API - io'!$A:$H,3,0)),"-")</f>
        <v>-</v>
      </c>
      <c r="C6" s="21"/>
      <c r="D6" s="21"/>
      <c r="E6" s="19" t="str">
        <f>IFERROR((VLOOKUP(Table1[[#This Row],[data__id]],'API - io'!$A:$H,5,0)),"-")</f>
        <v>-</v>
      </c>
      <c r="F6" s="19" t="str">
        <f>IFERROR((VLOOKUP(Table1[[#This Row],[data__id]],'API - io'!$A:$H,3,0)),"-")</f>
        <v>-</v>
      </c>
      <c r="G6" s="19" t="str">
        <f>IFERROR((VLOOKUP(A6,'API - io'!$A:$G,4,0)),"-")</f>
        <v>-</v>
      </c>
      <c r="H6" s="19" t="str">
        <f>IFERROR((VLOOKUP(A6,'API - io'!$A:$G,5,0)),"-")</f>
        <v>-</v>
      </c>
      <c r="I6" s="20" t="str">
        <f>IFERROR((VLOOKUP(A6,'API - io'!$A:$G,6,0)),"-")</f>
        <v>-</v>
      </c>
      <c r="J6" s="19" t="str">
        <f>IFERROR((VLOOKUP(A6,'API - io'!$A:$G,7,0)),"-")</f>
        <v>-</v>
      </c>
    </row>
    <row r="7" spans="1:10" ht="22.5" customHeight="1" x14ac:dyDescent="0.3">
      <c r="A7" s="19"/>
      <c r="B7" s="19" t="str">
        <f>IFERROR((VLOOKUP(Table1[[#This Row],[data__id]],'API - io'!$A:$H,3,0)),"-")</f>
        <v>-</v>
      </c>
      <c r="C7" s="19"/>
      <c r="D7" s="19"/>
      <c r="E7" s="19" t="str">
        <f>IFERROR((VLOOKUP(Table1[[#This Row],[data__id]],'API - io'!$A:$H,5,0)),"-")</f>
        <v>-</v>
      </c>
      <c r="F7" s="19" t="str">
        <f>IFERROR((VLOOKUP(Table1[[#This Row],[data__id]],'API - io'!$A:$H,3,0)),"-")</f>
        <v>-</v>
      </c>
      <c r="G7" s="19" t="str">
        <f>IFERROR((VLOOKUP(A7,'API - io'!$A:$G,4,0)),"-")</f>
        <v>-</v>
      </c>
      <c r="H7" s="19" t="str">
        <f>IFERROR((VLOOKUP(A7,'API - io'!$A:$G,5,0)),"-")</f>
        <v>-</v>
      </c>
      <c r="I7" s="20" t="str">
        <f>IFERROR((VLOOKUP(A7,'API - io'!$A:$G,6,0)),"-")</f>
        <v>-</v>
      </c>
      <c r="J7" s="19" t="str">
        <f>IFERROR((VLOOKUP(A7,'API - io'!$A:$G,7,0)),"-")</f>
        <v>-</v>
      </c>
    </row>
    <row r="8" spans="1:10" ht="22.5" customHeight="1" x14ac:dyDescent="0.3">
      <c r="A8" s="19"/>
      <c r="B8" s="19" t="str">
        <f>IFERROR((VLOOKUP(Table1[[#This Row],[data__id]],'API - io'!$A:$H,3,0)),"-")</f>
        <v>-</v>
      </c>
      <c r="C8" s="19"/>
      <c r="D8" s="19"/>
      <c r="E8" s="19" t="str">
        <f>IFERROR((VLOOKUP(Table1[[#This Row],[data__id]],'API - io'!$A:$H,5,0)),"-")</f>
        <v>-</v>
      </c>
      <c r="F8" s="19" t="str">
        <f>IFERROR((VLOOKUP(Table1[[#This Row],[data__id]],'API - io'!$A:$H,3,0)),"-")</f>
        <v>-</v>
      </c>
      <c r="G8" s="19" t="str">
        <f>IFERROR((VLOOKUP(A8,'API - io'!$A:$G,4,0)),"-")</f>
        <v>-</v>
      </c>
      <c r="H8" s="19" t="str">
        <f>IFERROR((VLOOKUP(A8,'API - io'!$A:$G,5,0)),"-")</f>
        <v>-</v>
      </c>
      <c r="I8" s="20" t="str">
        <f>IFERROR((VLOOKUP(A8,'API - io'!$A:$G,6,0)),"-")</f>
        <v>-</v>
      </c>
      <c r="J8" s="19" t="str">
        <f>IFERROR((VLOOKUP(A8,'API - io'!$A:$G,7,0)),"-")</f>
        <v>-</v>
      </c>
    </row>
    <row r="9" spans="1:10" ht="22.5" customHeight="1" x14ac:dyDescent="0.3">
      <c r="A9" s="19"/>
      <c r="B9" s="19" t="str">
        <f>IFERROR((VLOOKUP(Table1[[#This Row],[data__id]],'API - io'!$A:$H,3,0)),"-")</f>
        <v>-</v>
      </c>
      <c r="C9" s="19"/>
      <c r="D9" s="19"/>
      <c r="E9" s="19" t="str">
        <f>IFERROR((VLOOKUP(Table1[[#This Row],[data__id]],'API - io'!$A:$H,5,0)),"-")</f>
        <v>-</v>
      </c>
      <c r="F9" s="19" t="str">
        <f>IFERROR((VLOOKUP(Table1[[#This Row],[data__id]],'API - io'!$A:$H,3,0)),"-")</f>
        <v>-</v>
      </c>
      <c r="G9" s="19" t="str">
        <f>IFERROR((VLOOKUP(A9,'API - io'!$A:$G,4,0)),"-")</f>
        <v>-</v>
      </c>
      <c r="H9" s="19" t="str">
        <f>IFERROR((VLOOKUP(A9,'API - io'!$A:$G,5,0)),"-")</f>
        <v>-</v>
      </c>
      <c r="I9" s="20" t="str">
        <f>IFERROR((VLOOKUP(A9,'API - io'!$A:$G,6,0)),"-")</f>
        <v>-</v>
      </c>
      <c r="J9" s="19" t="str">
        <f>IFERROR((VLOOKUP(A9,'API - io'!$A:$G,7,0)),"-")</f>
        <v>-</v>
      </c>
    </row>
    <row r="10" spans="1:10" ht="22.5" customHeight="1" x14ac:dyDescent="0.3">
      <c r="A10" s="19"/>
      <c r="B10" s="19" t="str">
        <f>IFERROR((VLOOKUP(Table1[[#This Row],[data__id]],'API - io'!$A:$H,3,0)),"-")</f>
        <v>-</v>
      </c>
      <c r="C10" s="19"/>
      <c r="D10" s="19"/>
      <c r="E10" s="19" t="str">
        <f>IFERROR((VLOOKUP(Table1[[#This Row],[data__id]],'API - io'!$A:$H,5,0)),"-")</f>
        <v>-</v>
      </c>
      <c r="F10" s="19" t="str">
        <f>IFERROR((VLOOKUP(Table1[[#This Row],[data__id]],'API - io'!$A:$H,3,0)),"-")</f>
        <v>-</v>
      </c>
      <c r="G10" s="19" t="str">
        <f>IFERROR((VLOOKUP(A10,'API - io'!$A:$G,4,0)),"-")</f>
        <v>-</v>
      </c>
      <c r="H10" s="19" t="str">
        <f>IFERROR((VLOOKUP(A10,'API - io'!$A:$G,5,0)),"-")</f>
        <v>-</v>
      </c>
      <c r="I10" s="20" t="str">
        <f>IFERROR((VLOOKUP(A10,'API - io'!$A:$G,6,0)),"-")</f>
        <v>-</v>
      </c>
      <c r="J10" s="19" t="str">
        <f>IFERROR((VLOOKUP(A10,'API - io'!$A:$G,7,0)),"-")</f>
        <v>-</v>
      </c>
    </row>
    <row r="11" spans="1:10" ht="22.5" customHeight="1" x14ac:dyDescent="0.3">
      <c r="A11" s="19"/>
      <c r="B11" s="19" t="str">
        <f>IFERROR((VLOOKUP(Table1[[#This Row],[data__id]],'API - io'!$A:$H,3,0)),"-")</f>
        <v>-</v>
      </c>
      <c r="C11" s="19"/>
      <c r="D11" s="19"/>
      <c r="E11" s="19" t="str">
        <f>IFERROR((VLOOKUP(Table1[[#This Row],[data__id]],'API - io'!$A:$H,5,0)),"-")</f>
        <v>-</v>
      </c>
      <c r="F11" s="19" t="str">
        <f>IFERROR((VLOOKUP(Table1[[#This Row],[data__id]],'API - io'!$A:$H,3,0)),"-")</f>
        <v>-</v>
      </c>
      <c r="G11" s="19" t="str">
        <f>IFERROR((VLOOKUP(A11,'API - io'!$A:$G,4,0)),"-")</f>
        <v>-</v>
      </c>
      <c r="H11" s="19" t="str">
        <f>IFERROR((VLOOKUP(A11,'API - io'!$A:$G,5,0)),"-")</f>
        <v>-</v>
      </c>
      <c r="I11" s="20" t="str">
        <f>IFERROR((VLOOKUP(A11,'API - io'!$A:$G,6,0)),"-")</f>
        <v>-</v>
      </c>
      <c r="J11" s="19" t="str">
        <f>IFERROR((VLOOKUP(A11,'API - io'!$A:$G,7,0)),"-")</f>
        <v>-</v>
      </c>
    </row>
    <row r="12" spans="1:10" ht="22.5" customHeight="1" x14ac:dyDescent="0.3">
      <c r="A12" s="19"/>
      <c r="B12" s="19" t="str">
        <f>IFERROR((VLOOKUP(Table1[[#This Row],[data__id]],'API - io'!$A:$H,3,0)),"-")</f>
        <v>-</v>
      </c>
      <c r="C12" s="19"/>
      <c r="D12" s="19"/>
      <c r="E12" s="19" t="str">
        <f>IFERROR((VLOOKUP(Table1[[#This Row],[data__id]],'API - io'!$A:$H,5,0)),"-")</f>
        <v>-</v>
      </c>
      <c r="F12" s="19" t="str">
        <f>IFERROR((VLOOKUP(Table1[[#This Row],[data__id]],'API - io'!$A:$H,3,0)),"-")</f>
        <v>-</v>
      </c>
      <c r="G12" s="19" t="str">
        <f>IFERROR((VLOOKUP(A12,'API - io'!$A:$G,4,0)),"-")</f>
        <v>-</v>
      </c>
      <c r="H12" s="19" t="str">
        <f>IFERROR((VLOOKUP(A12,'API - io'!$A:$G,5,0)),"-")</f>
        <v>-</v>
      </c>
      <c r="I12" s="20" t="str">
        <f>IFERROR((VLOOKUP(A12,'API - io'!$A:$G,6,0)),"-")</f>
        <v>-</v>
      </c>
      <c r="J12" s="19" t="str">
        <f>IFERROR((VLOOKUP(A12,'API - io'!$A:$G,7,0)),"-")</f>
        <v>-</v>
      </c>
    </row>
    <row r="13" spans="1:10" ht="22.5" customHeight="1" x14ac:dyDescent="0.3">
      <c r="A13" s="19"/>
      <c r="B13" s="19" t="str">
        <f>IFERROR((VLOOKUP(Table1[[#This Row],[data__id]],'API - io'!$A:$H,3,0)),"-")</f>
        <v>-</v>
      </c>
      <c r="C13" s="19"/>
      <c r="D13" s="19"/>
      <c r="E13" s="19" t="str">
        <f>IFERROR((VLOOKUP(Table1[[#This Row],[data__id]],'API - io'!$A:$H,5,0)),"-")</f>
        <v>-</v>
      </c>
      <c r="F13" s="19" t="str">
        <f>IFERROR((VLOOKUP(Table1[[#This Row],[data__id]],'API - io'!$A:$H,3,0)),"-")</f>
        <v>-</v>
      </c>
      <c r="G13" s="19" t="str">
        <f>IFERROR((VLOOKUP(A13,'API - io'!$A:$G,4,0)),"-")</f>
        <v>-</v>
      </c>
      <c r="H13" s="19" t="str">
        <f>IFERROR((VLOOKUP(A13,'API - io'!$A:$G,5,0)),"-")</f>
        <v>-</v>
      </c>
      <c r="I13" s="20" t="str">
        <f>IFERROR((VLOOKUP(A13,'API - io'!$A:$G,6,0)),"-")</f>
        <v>-</v>
      </c>
      <c r="J13" s="19" t="str">
        <f>IFERROR((VLOOKUP(A13,'API - io'!$A:$G,7,0)),"-")</f>
        <v>-</v>
      </c>
    </row>
    <row r="14" spans="1:10" ht="22.5" customHeight="1" x14ac:dyDescent="0.3">
      <c r="A14" s="19"/>
      <c r="B14" s="19" t="str">
        <f>IFERROR((VLOOKUP(Table1[[#This Row],[data__id]],'API - io'!$A:$H,3,0)),"-")</f>
        <v>-</v>
      </c>
      <c r="C14" s="19"/>
      <c r="D14" s="19"/>
      <c r="E14" s="19" t="str">
        <f>IFERROR((VLOOKUP(Table1[[#This Row],[data__id]],'API - io'!$A:$H,5,0)),"-")</f>
        <v>-</v>
      </c>
      <c r="F14" s="19" t="str">
        <f>IFERROR((VLOOKUP(Table1[[#This Row],[data__id]],'API - io'!$A:$H,3,0)),"-")</f>
        <v>-</v>
      </c>
      <c r="G14" s="19" t="str">
        <f>IFERROR((VLOOKUP(A14,'API - io'!$A:$G,4,0)),"-")</f>
        <v>-</v>
      </c>
      <c r="H14" s="19" t="str">
        <f>IFERROR((VLOOKUP(A14,'API - io'!$A:$G,5,0)),"-")</f>
        <v>-</v>
      </c>
      <c r="I14" s="20" t="str">
        <f>IFERROR((VLOOKUP(A14,'API - io'!$A:$G,6,0)),"-")</f>
        <v>-</v>
      </c>
      <c r="J14" s="19" t="str">
        <f>IFERROR((VLOOKUP(A14,'API - io'!$A:$G,7,0)),"-")</f>
        <v>-</v>
      </c>
    </row>
    <row r="15" spans="1:10" ht="22.5" customHeight="1" x14ac:dyDescent="0.3">
      <c r="A15" s="19"/>
      <c r="B15" s="19" t="str">
        <f>IFERROR((VLOOKUP(Table1[[#This Row],[data__id]],'API - io'!$A:$H,3,0)),"-")</f>
        <v>-</v>
      </c>
      <c r="C15" s="19"/>
      <c r="D15" s="19"/>
      <c r="E15" s="19" t="str">
        <f>IFERROR((VLOOKUP(Table1[[#This Row],[data__id]],'API - io'!$A:$H,5,0)),"-")</f>
        <v>-</v>
      </c>
      <c r="F15" s="19" t="str">
        <f>IFERROR((VLOOKUP(Table1[[#This Row],[data__id]],'API - io'!$A:$H,3,0)),"-")</f>
        <v>-</v>
      </c>
      <c r="G15" s="19" t="str">
        <f>IFERROR((VLOOKUP(A15,'API - io'!$A:$G,4,0)),"-")</f>
        <v>-</v>
      </c>
      <c r="H15" s="19" t="str">
        <f>IFERROR((VLOOKUP(A15,'API - io'!$A:$G,5,0)),"-")</f>
        <v>-</v>
      </c>
      <c r="I15" s="20" t="str">
        <f>IFERROR((VLOOKUP(A15,'API - io'!$A:$G,6,0)),"-")</f>
        <v>-</v>
      </c>
      <c r="J15" s="19" t="str">
        <f>IFERROR((VLOOKUP(A15,'API - io'!$A:$G,7,0)),"-")</f>
        <v>-</v>
      </c>
    </row>
    <row r="16" spans="1:10" x14ac:dyDescent="0.3">
      <c r="A16" s="21"/>
      <c r="B16" s="21" t="str">
        <f>IFERROR((VLOOKUP(Table1[[#This Row],[data__id]],'API - io'!$A:$H,3,0)),"-")</f>
        <v>-</v>
      </c>
      <c r="C16" s="21"/>
      <c r="D16" s="21"/>
      <c r="E16" s="19" t="str">
        <f>IFERROR((VLOOKUP(Table1[[#This Row],[data__id]],'API - io'!$A:$H,5,0)),"-")</f>
        <v>-</v>
      </c>
      <c r="F16" s="19" t="str">
        <f>IFERROR((VLOOKUP(Table1[[#This Row],[data__id]],'API - io'!$A:$H,3,0)),"-")</f>
        <v>-</v>
      </c>
      <c r="G16" s="19" t="str">
        <f>IFERROR((VLOOKUP(A16,'API - io'!$A:$G,4,0)),"-")</f>
        <v>-</v>
      </c>
      <c r="H16" s="19" t="str">
        <f>IFERROR((VLOOKUP(A16,'API - io'!$A:$G,5,0)),"-")</f>
        <v>-</v>
      </c>
      <c r="I16" s="20" t="str">
        <f>IFERROR((VLOOKUP(A16,'API - io'!$A:$G,6,0)),"-")</f>
        <v>-</v>
      </c>
      <c r="J16" s="19" t="str">
        <f>IFERROR((VLOOKUP(A16,'API - io'!$A:$G,7,0)),"-")</f>
        <v>-</v>
      </c>
    </row>
    <row r="17" spans="1:10" x14ac:dyDescent="0.3">
      <c r="A17" s="21"/>
      <c r="B17" s="21" t="str">
        <f>IFERROR((VLOOKUP(Table1[[#This Row],[data__id]],'API - io'!$A:$H,3,0)),"-")</f>
        <v>-</v>
      </c>
      <c r="C17" s="21"/>
      <c r="D17" s="21"/>
      <c r="E17" s="19" t="str">
        <f>IFERROR((VLOOKUP(Table1[[#This Row],[data__id]],'API - io'!$A:$H,5,0)),"-")</f>
        <v>-</v>
      </c>
      <c r="F17" s="19" t="str">
        <f>IFERROR((VLOOKUP(Table1[[#This Row],[data__id]],'API - io'!$A:$H,3,0)),"-")</f>
        <v>-</v>
      </c>
      <c r="G17" s="19" t="str">
        <f>IFERROR((VLOOKUP(A17,'API - io'!$A:$G,4,0)),"-")</f>
        <v>-</v>
      </c>
      <c r="H17" s="19" t="str">
        <f>IFERROR((VLOOKUP(A17,'API - io'!$A:$G,5,0)),"-")</f>
        <v>-</v>
      </c>
      <c r="I17" s="20" t="str">
        <f>IFERROR((VLOOKUP(A17,'API - io'!$A:$G,6,0)),"-")</f>
        <v>-</v>
      </c>
      <c r="J17" s="19" t="str">
        <f>IFERROR((VLOOKUP(A17,'API - io'!$A:$G,7,0)),"-")</f>
        <v>-</v>
      </c>
    </row>
    <row r="18" spans="1:10" x14ac:dyDescent="0.3">
      <c r="A18" s="21"/>
      <c r="B18" s="21" t="str">
        <f>IFERROR((VLOOKUP(Table1[[#This Row],[data__id]],'API - io'!$A:$H,3,0)),"-")</f>
        <v>-</v>
      </c>
      <c r="C18" s="21"/>
      <c r="D18" s="21"/>
      <c r="E18" s="19" t="str">
        <f>IFERROR((VLOOKUP(Table1[[#This Row],[data__id]],'API - io'!$A:$H,5,0)),"-")</f>
        <v>-</v>
      </c>
      <c r="F18" s="19" t="str">
        <f>IFERROR((VLOOKUP(Table1[[#This Row],[data__id]],'API - io'!$A:$H,3,0)),"-")</f>
        <v>-</v>
      </c>
      <c r="G18" s="19" t="str">
        <f>IFERROR((VLOOKUP(A18,'API - io'!$A:$G,4,0)),"-")</f>
        <v>-</v>
      </c>
      <c r="H18" s="19" t="str">
        <f>IFERROR((VLOOKUP(A18,'API - io'!$A:$G,5,0)),"-")</f>
        <v>-</v>
      </c>
      <c r="I18" s="20" t="str">
        <f>IFERROR((VLOOKUP(A18,'API - io'!$A:$G,6,0)),"-")</f>
        <v>-</v>
      </c>
      <c r="J18" s="19" t="str">
        <f>IFERROR((VLOOKUP(A18,'API - io'!$A:$G,7,0)),"-")</f>
        <v>-</v>
      </c>
    </row>
    <row r="19" spans="1:10" x14ac:dyDescent="0.3">
      <c r="A19" s="21"/>
      <c r="B19" s="21" t="str">
        <f>IFERROR((VLOOKUP(Table1[[#This Row],[data__id]],'API - io'!$A:$H,3,0)),"-")</f>
        <v>-</v>
      </c>
      <c r="C19" s="21"/>
      <c r="D19" s="21"/>
      <c r="E19" s="19" t="str">
        <f>IFERROR((VLOOKUP(Table1[[#This Row],[data__id]],'API - io'!$A:$H,5,0)),"-")</f>
        <v>-</v>
      </c>
      <c r="F19" s="19" t="str">
        <f>IFERROR((VLOOKUP(Table1[[#This Row],[data__id]],'API - io'!$A:$H,3,0)),"-")</f>
        <v>-</v>
      </c>
      <c r="G19" s="19" t="str">
        <f>IFERROR((VLOOKUP(A19,'API - io'!$A:$G,4,0)),"-")</f>
        <v>-</v>
      </c>
      <c r="H19" s="19" t="str">
        <f>IFERROR((VLOOKUP(A19,'API - io'!$A:$G,5,0)),"-")</f>
        <v>-</v>
      </c>
      <c r="I19" s="20" t="str">
        <f>IFERROR((VLOOKUP(A19,'API - io'!$A:$G,6,0)),"-")</f>
        <v>-</v>
      </c>
      <c r="J19" s="19" t="str">
        <f>IFERROR((VLOOKUP(A19,'API - io'!$A:$G,7,0)),"-")</f>
        <v>-</v>
      </c>
    </row>
    <row r="20" spans="1:10" x14ac:dyDescent="0.3">
      <c r="A20" s="21"/>
      <c r="B20" s="21" t="str">
        <f>IFERROR((VLOOKUP(Table1[[#This Row],[data__id]],'API - io'!$A:$H,3,0)),"-")</f>
        <v>-</v>
      </c>
      <c r="C20" s="21"/>
      <c r="D20" s="21"/>
      <c r="E20" s="19" t="str">
        <f>IFERROR((VLOOKUP(Table1[[#This Row],[data__id]],'API - io'!$A:$H,5,0)),"-")</f>
        <v>-</v>
      </c>
      <c r="F20" s="19" t="str">
        <f>IFERROR((VLOOKUP(Table1[[#This Row],[data__id]],'API - io'!$A:$H,3,0)),"-")</f>
        <v>-</v>
      </c>
      <c r="G20" s="19" t="str">
        <f>IFERROR((VLOOKUP(A20,'API - io'!$A:$G,4,0)),"-")</f>
        <v>-</v>
      </c>
      <c r="H20" s="19" t="str">
        <f>IFERROR((VLOOKUP(A20,'API - io'!$A:$G,5,0)),"-")</f>
        <v>-</v>
      </c>
      <c r="I20" s="20" t="str">
        <f>IFERROR((VLOOKUP(A20,'API - io'!$A:$G,6,0)),"-")</f>
        <v>-</v>
      </c>
      <c r="J20" s="19" t="str">
        <f>IFERROR((VLOOKUP(A20,'API - io'!$A:$G,7,0)),"-")</f>
        <v>-</v>
      </c>
    </row>
    <row r="21" spans="1:10" x14ac:dyDescent="0.3">
      <c r="A21" s="21"/>
      <c r="B21" s="21" t="str">
        <f>IFERROR((VLOOKUP(Table1[[#This Row],[data__id]],'API - io'!$A:$H,3,0)),"-")</f>
        <v>-</v>
      </c>
      <c r="C21" s="21"/>
      <c r="D21" s="21"/>
      <c r="E21" s="19" t="str">
        <f>IFERROR((VLOOKUP(Table1[[#This Row],[data__id]],'API - io'!$A:$H,5,0)),"-")</f>
        <v>-</v>
      </c>
      <c r="F21" s="19" t="str">
        <f>IFERROR((VLOOKUP(Table1[[#This Row],[data__id]],'API - io'!$A:$H,3,0)),"-")</f>
        <v>-</v>
      </c>
      <c r="G21" s="19" t="str">
        <f>IFERROR((VLOOKUP(A21,'API - io'!$A:$G,4,0)),"-")</f>
        <v>-</v>
      </c>
      <c r="H21" s="19" t="str">
        <f>IFERROR((VLOOKUP(A21,'API - io'!$A:$G,5,0)),"-")</f>
        <v>-</v>
      </c>
      <c r="I21" s="20" t="str">
        <f>IFERROR((VLOOKUP(A21,'API - io'!$A:$G,6,0)),"-")</f>
        <v>-</v>
      </c>
      <c r="J21" s="19" t="str">
        <f>IFERROR((VLOOKUP(A21,'API - io'!$A:$G,7,0)),"-")</f>
        <v>-</v>
      </c>
    </row>
    <row r="22" spans="1:10" x14ac:dyDescent="0.3">
      <c r="A22" s="21"/>
      <c r="B22" s="21" t="str">
        <f>IFERROR((VLOOKUP(Table1[[#This Row],[data__id]],'API - io'!$A:$H,3,0)),"-")</f>
        <v>-</v>
      </c>
      <c r="C22" s="21"/>
      <c r="D22" s="21"/>
      <c r="E22" s="19" t="str">
        <f>IFERROR((VLOOKUP(Table1[[#This Row],[data__id]],'API - io'!$A:$H,5,0)),"-")</f>
        <v>-</v>
      </c>
      <c r="F22" s="19" t="str">
        <f>IFERROR((VLOOKUP(Table1[[#This Row],[data__id]],'API - io'!$A:$H,3,0)),"-")</f>
        <v>-</v>
      </c>
      <c r="G22" s="19" t="str">
        <f>IFERROR((VLOOKUP(A22,'API - io'!$A:$G,4,0)),"-")</f>
        <v>-</v>
      </c>
      <c r="H22" s="19" t="str">
        <f>IFERROR((VLOOKUP(A22,'API - io'!$A:$G,5,0)),"-")</f>
        <v>-</v>
      </c>
      <c r="I22" s="20" t="str">
        <f>IFERROR((VLOOKUP(A22,'API - io'!$A:$G,6,0)),"-")</f>
        <v>-</v>
      </c>
      <c r="J22" s="19" t="str">
        <f>IFERROR((VLOOKUP(A22,'API - io'!$A:$G,7,0)),"-")</f>
        <v>-</v>
      </c>
    </row>
    <row r="23" spans="1:10" x14ac:dyDescent="0.3">
      <c r="A23" s="21"/>
      <c r="B23" s="21" t="str">
        <f>IFERROR((VLOOKUP(Table1[[#This Row],[data__id]],'API - io'!$A:$H,3,0)),"-")</f>
        <v>-</v>
      </c>
      <c r="C23" s="21"/>
      <c r="D23" s="21"/>
      <c r="E23" s="19" t="str">
        <f>IFERROR((VLOOKUP(Table1[[#This Row],[data__id]],'API - io'!$A:$H,5,0)),"-")</f>
        <v>-</v>
      </c>
      <c r="F23" s="19" t="str">
        <f>IFERROR((VLOOKUP(Table1[[#This Row],[data__id]],'API - io'!$A:$H,3,0)),"-")</f>
        <v>-</v>
      </c>
      <c r="G23" s="19" t="str">
        <f>IFERROR((VLOOKUP(A23,'API - io'!$A:$G,4,0)),"-")</f>
        <v>-</v>
      </c>
      <c r="H23" s="19" t="str">
        <f>IFERROR((VLOOKUP(A23,'API - io'!$A:$G,5,0)),"-")</f>
        <v>-</v>
      </c>
      <c r="I23" s="20" t="str">
        <f>IFERROR((VLOOKUP(A23,'API - io'!$A:$G,6,0)),"-")</f>
        <v>-</v>
      </c>
      <c r="J23" s="19" t="str">
        <f>IFERROR((VLOOKUP(A23,'API - io'!$A:$G,7,0)),"-")</f>
        <v>-</v>
      </c>
    </row>
    <row r="24" spans="1:10" x14ac:dyDescent="0.3">
      <c r="A24" s="21"/>
      <c r="B24" s="21" t="str">
        <f>IFERROR((VLOOKUP(Table1[[#This Row],[data__id]],'API - io'!$A:$H,3,0)),"-")</f>
        <v>-</v>
      </c>
      <c r="C24" s="21"/>
      <c r="D24" s="21"/>
      <c r="E24" s="19" t="str">
        <f>IFERROR((VLOOKUP(Table1[[#This Row],[data__id]],'API - io'!$A:$H,5,0)),"-")</f>
        <v>-</v>
      </c>
      <c r="F24" s="19" t="str">
        <f>IFERROR((VLOOKUP(Table1[[#This Row],[data__id]],'API - io'!$A:$H,3,0)),"-")</f>
        <v>-</v>
      </c>
      <c r="G24" s="19" t="str">
        <f>IFERROR((VLOOKUP(A24,'API - io'!$A:$G,4,0)),"-")</f>
        <v>-</v>
      </c>
      <c r="H24" s="19" t="str">
        <f>IFERROR((VLOOKUP(A24,'API - io'!$A:$G,5,0)),"-")</f>
        <v>-</v>
      </c>
      <c r="I24" s="20" t="str">
        <f>IFERROR((VLOOKUP(A24,'API - io'!$A:$G,6,0)),"-")</f>
        <v>-</v>
      </c>
      <c r="J24" s="19" t="str">
        <f>IFERROR((VLOOKUP(A24,'API - io'!$A:$G,7,0)),"-")</f>
        <v>-</v>
      </c>
    </row>
    <row r="25" spans="1:10" x14ac:dyDescent="0.3">
      <c r="A25" s="21"/>
      <c r="B25" s="21" t="str">
        <f>IFERROR((VLOOKUP(Table1[[#This Row],[data__id]],'API - io'!$A:$H,3,0)),"-")</f>
        <v>-</v>
      </c>
      <c r="C25" s="21"/>
      <c r="D25" s="21"/>
      <c r="E25" s="19" t="str">
        <f>IFERROR((VLOOKUP(Table1[[#This Row],[data__id]],'API - io'!$A:$H,5,0)),"-")</f>
        <v>-</v>
      </c>
      <c r="F25" s="19" t="str">
        <f>IFERROR((VLOOKUP(Table1[[#This Row],[data__id]],'API - io'!$A:$H,3,0)),"-")</f>
        <v>-</v>
      </c>
      <c r="G25" s="19" t="str">
        <f>IFERROR((VLOOKUP(A25,'API - io'!$A:$G,4,0)),"-")</f>
        <v>-</v>
      </c>
      <c r="H25" s="19" t="str">
        <f>IFERROR((VLOOKUP(A25,'API - io'!$A:$G,5,0)),"-")</f>
        <v>-</v>
      </c>
      <c r="I25" s="20" t="str">
        <f>IFERROR((VLOOKUP(A25,'API - io'!$A:$G,6,0)),"-")</f>
        <v>-</v>
      </c>
      <c r="J25" s="19" t="str">
        <f>IFERROR((VLOOKUP(A25,'API - io'!$A:$G,7,0)),"-")</f>
        <v>-</v>
      </c>
    </row>
    <row r="26" spans="1:10" x14ac:dyDescent="0.3">
      <c r="A26" s="21"/>
      <c r="B26" s="21" t="str">
        <f>IFERROR((VLOOKUP(Table1[[#This Row],[data__id]],'API - io'!$A:$H,3,0)),"-")</f>
        <v>-</v>
      </c>
      <c r="C26" s="21"/>
      <c r="D26" s="21"/>
      <c r="E26" s="19" t="str">
        <f>IFERROR((VLOOKUP(Table1[[#This Row],[data__id]],'API - io'!$A:$H,5,0)),"-")</f>
        <v>-</v>
      </c>
      <c r="F26" s="19" t="str">
        <f>IFERROR((VLOOKUP(Table1[[#This Row],[data__id]],'API - io'!$A:$H,3,0)),"-")</f>
        <v>-</v>
      </c>
      <c r="G26" s="19" t="str">
        <f>IFERROR((VLOOKUP(A26,'API - io'!$A:$G,4,0)),"-")</f>
        <v>-</v>
      </c>
      <c r="H26" s="19" t="str">
        <f>IFERROR((VLOOKUP(A26,'API - io'!$A:$G,5,0)),"-")</f>
        <v>-</v>
      </c>
      <c r="I26" s="20" t="str">
        <f>IFERROR((VLOOKUP(A26,'API - io'!$A:$G,6,0)),"-")</f>
        <v>-</v>
      </c>
      <c r="J26" s="19" t="str">
        <f>IFERROR((VLOOKUP(A26,'API - io'!$A:$G,7,0)),"-")</f>
        <v>-</v>
      </c>
    </row>
    <row r="27" spans="1:10" x14ac:dyDescent="0.3">
      <c r="A27" s="21"/>
      <c r="B27" s="21" t="str">
        <f>IFERROR((VLOOKUP(Table1[[#This Row],[data__id]],'API - io'!$A:$H,3,0)),"-")</f>
        <v>-</v>
      </c>
      <c r="C27" s="21"/>
      <c r="D27" s="21"/>
      <c r="E27" s="19" t="str">
        <f>IFERROR((VLOOKUP(Table1[[#This Row],[data__id]],'API - io'!$A:$H,5,0)),"-")</f>
        <v>-</v>
      </c>
      <c r="F27" s="19" t="str">
        <f>IFERROR((VLOOKUP(Table1[[#This Row],[data__id]],'API - io'!$A:$H,3,0)),"-")</f>
        <v>-</v>
      </c>
      <c r="G27" s="19" t="str">
        <f>IFERROR((VLOOKUP(A27,'API - io'!$A:$G,4,0)),"-")</f>
        <v>-</v>
      </c>
      <c r="H27" s="19" t="str">
        <f>IFERROR((VLOOKUP(A27,'API - io'!$A:$G,5,0)),"-")</f>
        <v>-</v>
      </c>
      <c r="I27" s="20" t="str">
        <f>IFERROR((VLOOKUP(A27,'API - io'!$A:$G,6,0)),"-")</f>
        <v>-</v>
      </c>
      <c r="J27" s="19" t="str">
        <f>IFERROR((VLOOKUP(A27,'API - io'!$A:$G,7,0)),"-")</f>
        <v>-</v>
      </c>
    </row>
    <row r="28" spans="1:10" x14ac:dyDescent="0.3">
      <c r="A28" s="21"/>
      <c r="B28" s="21" t="str">
        <f>IFERROR((VLOOKUP(Table1[[#This Row],[data__id]],'API - io'!$A:$H,3,0)),"-")</f>
        <v>-</v>
      </c>
      <c r="C28" s="21"/>
      <c r="D28" s="21"/>
      <c r="E28" s="19" t="str">
        <f>IFERROR((VLOOKUP(Table1[[#This Row],[data__id]],'API - io'!$A:$H,5,0)),"-")</f>
        <v>-</v>
      </c>
      <c r="F28" s="19" t="str">
        <f>IFERROR((VLOOKUP(Table1[[#This Row],[data__id]],'API - io'!$A:$H,3,0)),"-")</f>
        <v>-</v>
      </c>
      <c r="G28" s="19" t="str">
        <f>IFERROR((VLOOKUP(A28,'API - io'!$A:$G,4,0)),"-")</f>
        <v>-</v>
      </c>
      <c r="H28" s="19" t="str">
        <f>IFERROR((VLOOKUP(A28,'API - io'!$A:$G,5,0)),"-")</f>
        <v>-</v>
      </c>
      <c r="I28" s="20" t="str">
        <f>IFERROR((VLOOKUP(A28,'API - io'!$A:$G,6,0)),"-")</f>
        <v>-</v>
      </c>
      <c r="J28" s="19" t="str">
        <f>IFERROR((VLOOKUP(A28,'API - io'!$A:$G,7,0)),"-")</f>
        <v>-</v>
      </c>
    </row>
    <row r="29" spans="1:10" x14ac:dyDescent="0.3">
      <c r="A29" s="21"/>
      <c r="B29" s="21" t="str">
        <f>IFERROR((VLOOKUP(Table1[[#This Row],[data__id]],'API - io'!$A:$H,3,0)),"-")</f>
        <v>-</v>
      </c>
      <c r="C29" s="21"/>
      <c r="D29" s="21"/>
      <c r="E29" s="19" t="str">
        <f>IFERROR((VLOOKUP(Table1[[#This Row],[data__id]],'API - io'!$A:$H,5,0)),"-")</f>
        <v>-</v>
      </c>
      <c r="F29" s="19" t="str">
        <f>IFERROR((VLOOKUP(Table1[[#This Row],[data__id]],'API - io'!$A:$H,3,0)),"-")</f>
        <v>-</v>
      </c>
      <c r="G29" s="19" t="str">
        <f>IFERROR((VLOOKUP(A29,'API - io'!$A:$G,4,0)),"-")</f>
        <v>-</v>
      </c>
      <c r="H29" s="19" t="str">
        <f>IFERROR((VLOOKUP(A29,'API - io'!$A:$G,5,0)),"-")</f>
        <v>-</v>
      </c>
      <c r="I29" s="20" t="str">
        <f>IFERROR((VLOOKUP(A29,'API - io'!$A:$G,6,0)),"-")</f>
        <v>-</v>
      </c>
      <c r="J29" s="19" t="str">
        <f>IFERROR((VLOOKUP(A29,'API - io'!$A:$G,7,0)),"-")</f>
        <v>-</v>
      </c>
    </row>
    <row r="30" spans="1:10" x14ac:dyDescent="0.3">
      <c r="A30" s="21"/>
      <c r="B30" s="21" t="str">
        <f>IFERROR((VLOOKUP(Table1[[#This Row],[data__id]],'API - io'!$A:$H,3,0)),"-")</f>
        <v>-</v>
      </c>
      <c r="C30" s="21"/>
      <c r="D30" s="21"/>
      <c r="E30" s="19" t="str">
        <f>IFERROR((VLOOKUP(Table1[[#This Row],[data__id]],'API - io'!$A:$H,5,0)),"-")</f>
        <v>-</v>
      </c>
      <c r="F30" s="19" t="str">
        <f>IFERROR((VLOOKUP(Table1[[#This Row],[data__id]],'API - io'!$A:$H,3,0)),"-")</f>
        <v>-</v>
      </c>
      <c r="G30" s="19" t="str">
        <f>IFERROR((VLOOKUP(A30,'API - io'!$A:$G,4,0)),"-")</f>
        <v>-</v>
      </c>
      <c r="H30" s="19" t="str">
        <f>IFERROR((VLOOKUP(A30,'API - io'!$A:$G,5,0)),"-")</f>
        <v>-</v>
      </c>
      <c r="I30" s="20" t="str">
        <f>IFERROR((VLOOKUP(A30,'API - io'!$A:$G,6,0)),"-")</f>
        <v>-</v>
      </c>
      <c r="J30" s="19" t="str">
        <f>IFERROR((VLOOKUP(A30,'API - io'!$A:$G,7,0)),"-")</f>
        <v>-</v>
      </c>
    </row>
    <row r="31" spans="1:10" x14ac:dyDescent="0.3">
      <c r="A31" s="21"/>
      <c r="B31" s="21" t="str">
        <f>IFERROR((VLOOKUP(Table1[[#This Row],[data__id]],'API - io'!$A:$H,3,0)),"-")</f>
        <v>-</v>
      </c>
      <c r="C31" s="21"/>
      <c r="D31" s="21"/>
      <c r="E31" s="19" t="str">
        <f>IFERROR((VLOOKUP(Table1[[#This Row],[data__id]],'API - io'!$A:$H,5,0)),"-")</f>
        <v>-</v>
      </c>
      <c r="F31" s="19" t="str">
        <f>IFERROR((VLOOKUP(Table1[[#This Row],[data__id]],'API - io'!$A:$H,3,0)),"-")</f>
        <v>-</v>
      </c>
      <c r="G31" s="19" t="str">
        <f>IFERROR((VLOOKUP(A31,'API - io'!$A:$G,4,0)),"-")</f>
        <v>-</v>
      </c>
      <c r="H31" s="19" t="str">
        <f>IFERROR((VLOOKUP(A31,'API - io'!$A:$G,5,0)),"-")</f>
        <v>-</v>
      </c>
      <c r="I31" s="20" t="str">
        <f>IFERROR((VLOOKUP(A31,'API - io'!$A:$G,6,0)),"-")</f>
        <v>-</v>
      </c>
      <c r="J31" s="19" t="str">
        <f>IFERROR((VLOOKUP(A31,'API - io'!$A:$G,7,0)),"-")</f>
        <v>-</v>
      </c>
    </row>
    <row r="32" spans="1:10" x14ac:dyDescent="0.3">
      <c r="A32" s="21"/>
      <c r="B32" s="21" t="str">
        <f>IFERROR((VLOOKUP(Table1[[#This Row],[data__id]],'API - io'!$A:$H,3,0)),"-")</f>
        <v>-</v>
      </c>
      <c r="C32" s="21"/>
      <c r="D32" s="21"/>
      <c r="E32" s="19" t="str">
        <f>IFERROR((VLOOKUP(Table1[[#This Row],[data__id]],'API - io'!$A:$H,5,0)),"-")</f>
        <v>-</v>
      </c>
      <c r="F32" s="19" t="str">
        <f>IFERROR((VLOOKUP(Table1[[#This Row],[data__id]],'API - io'!$A:$H,3,0)),"-")</f>
        <v>-</v>
      </c>
      <c r="G32" s="19" t="str">
        <f>IFERROR((VLOOKUP(A32,'API - io'!$A:$G,4,0)),"-")</f>
        <v>-</v>
      </c>
      <c r="H32" s="19" t="str">
        <f>IFERROR((VLOOKUP(A32,'API - io'!$A:$G,5,0)),"-")</f>
        <v>-</v>
      </c>
      <c r="I32" s="20" t="str">
        <f>IFERROR((VLOOKUP(A32,'API - io'!$A:$G,6,0)),"-")</f>
        <v>-</v>
      </c>
      <c r="J32" s="19" t="str">
        <f>IFERROR((VLOOKUP(A32,'API - io'!$A:$G,7,0)),"-")</f>
        <v>-</v>
      </c>
    </row>
    <row r="33" spans="1:10" x14ac:dyDescent="0.3">
      <c r="A33" s="21"/>
      <c r="B33" s="21" t="str">
        <f>IFERROR((VLOOKUP(Table1[[#This Row],[data__id]],'API - io'!$A:$H,3,0)),"-")</f>
        <v>-</v>
      </c>
      <c r="C33" s="21"/>
      <c r="D33" s="21"/>
      <c r="E33" s="19" t="str">
        <f>IFERROR((VLOOKUP(Table1[[#This Row],[data__id]],'API - io'!$A:$H,5,0)),"-")</f>
        <v>-</v>
      </c>
      <c r="F33" s="19" t="str">
        <f>IFERROR((VLOOKUP(Table1[[#This Row],[data__id]],'API - io'!$A:$H,3,0)),"-")</f>
        <v>-</v>
      </c>
      <c r="G33" s="19" t="str">
        <f>IFERROR((VLOOKUP(A33,'API - io'!$A:$G,4,0)),"-")</f>
        <v>-</v>
      </c>
      <c r="H33" s="19" t="str">
        <f>IFERROR((VLOOKUP(A33,'API - io'!$A:$G,5,0)),"-")</f>
        <v>-</v>
      </c>
      <c r="I33" s="20" t="str">
        <f>IFERROR((VLOOKUP(A33,'API - io'!$A:$G,6,0)),"-")</f>
        <v>-</v>
      </c>
      <c r="J33" s="19" t="str">
        <f>IFERROR((VLOOKUP(A33,'API - io'!$A:$G,7,0)),"-")</f>
        <v>-</v>
      </c>
    </row>
    <row r="34" spans="1:10" x14ac:dyDescent="0.3">
      <c r="A34" s="21"/>
      <c r="B34" s="21" t="str">
        <f>IFERROR((VLOOKUP(Table1[[#This Row],[data__id]],'API - io'!$A:$H,3,0)),"-")</f>
        <v>-</v>
      </c>
      <c r="C34" s="21"/>
      <c r="D34" s="21"/>
      <c r="E34" s="19" t="str">
        <f>IFERROR((VLOOKUP(Table1[[#This Row],[data__id]],'API - io'!$A:$H,5,0)),"-")</f>
        <v>-</v>
      </c>
      <c r="F34" s="19" t="str">
        <f>IFERROR((VLOOKUP(Table1[[#This Row],[data__id]],'API - io'!$A:$H,3,0)),"-")</f>
        <v>-</v>
      </c>
      <c r="G34" s="19" t="str">
        <f>IFERROR((VLOOKUP(A34,'API - io'!$A:$G,4,0)),"-")</f>
        <v>-</v>
      </c>
      <c r="H34" s="19" t="str">
        <f>IFERROR((VLOOKUP(A34,'API - io'!$A:$G,5,0)),"-")</f>
        <v>-</v>
      </c>
      <c r="I34" s="20" t="str">
        <f>IFERROR((VLOOKUP(A34,'API - io'!$A:$G,6,0)),"-")</f>
        <v>-</v>
      </c>
      <c r="J34" s="19" t="str">
        <f>IFERROR((VLOOKUP(A34,'API - io'!$A:$G,7,0)),"-")</f>
        <v>-</v>
      </c>
    </row>
    <row r="35" spans="1:10" x14ac:dyDescent="0.3">
      <c r="A35" s="21"/>
      <c r="B35" s="21" t="str">
        <f>IFERROR((VLOOKUP(Table1[[#This Row],[data__id]],'API - io'!$A:$H,3,0)),"-")</f>
        <v>-</v>
      </c>
      <c r="C35" s="21"/>
      <c r="D35" s="21"/>
      <c r="E35" s="19" t="str">
        <f>IFERROR((VLOOKUP(Table1[[#This Row],[data__id]],'API - io'!$A:$H,5,0)),"-")</f>
        <v>-</v>
      </c>
      <c r="F35" s="19" t="str">
        <f>IFERROR((VLOOKUP(Table1[[#This Row],[data__id]],'API - io'!$A:$H,3,0)),"-")</f>
        <v>-</v>
      </c>
      <c r="G35" s="19" t="str">
        <f>IFERROR((VLOOKUP(A35,'API - io'!$A:$G,4,0)),"-")</f>
        <v>-</v>
      </c>
      <c r="H35" s="19" t="str">
        <f>IFERROR((VLOOKUP(A35,'API - io'!$A:$G,5,0)),"-")</f>
        <v>-</v>
      </c>
      <c r="I35" s="20" t="str">
        <f>IFERROR((VLOOKUP(A35,'API - io'!$A:$G,6,0)),"-")</f>
        <v>-</v>
      </c>
      <c r="J35" s="19" t="str">
        <f>IFERROR((VLOOKUP(A35,'API - io'!$A:$G,7,0)),"-")</f>
        <v>-</v>
      </c>
    </row>
    <row r="36" spans="1:10" x14ac:dyDescent="0.3">
      <c r="A36" s="21"/>
      <c r="B36" s="21" t="str">
        <f>IFERROR((VLOOKUP(Table1[[#This Row],[data__id]],'API - io'!$A:$H,3,0)),"-")</f>
        <v>-</v>
      </c>
      <c r="C36" s="21"/>
      <c r="D36" s="21"/>
      <c r="E36" s="19" t="str">
        <f>IFERROR((VLOOKUP(Table1[[#This Row],[data__id]],'API - io'!$A:$H,5,0)),"-")</f>
        <v>-</v>
      </c>
      <c r="F36" s="19" t="str">
        <f>IFERROR((VLOOKUP(Table1[[#This Row],[data__id]],'API - io'!$A:$H,3,0)),"-")</f>
        <v>-</v>
      </c>
      <c r="G36" s="19" t="str">
        <f>IFERROR((VLOOKUP(A36,'API - io'!$A:$G,4,0)),"-")</f>
        <v>-</v>
      </c>
      <c r="H36" s="19" t="str">
        <f>IFERROR((VLOOKUP(A36,'API - io'!$A:$G,5,0)),"-")</f>
        <v>-</v>
      </c>
      <c r="I36" s="20" t="str">
        <f>IFERROR((VLOOKUP(A36,'API - io'!$A:$G,6,0)),"-")</f>
        <v>-</v>
      </c>
      <c r="J36" s="19" t="str">
        <f>IFERROR((VLOOKUP(A36,'API - io'!$A:$G,7,0)),"-")</f>
        <v>-</v>
      </c>
    </row>
    <row r="37" spans="1:10" x14ac:dyDescent="0.3">
      <c r="A37" s="21"/>
      <c r="B37" s="21" t="str">
        <f>IFERROR((VLOOKUP(Table1[[#This Row],[data__id]],'API - io'!$A:$H,3,0)),"-")</f>
        <v>-</v>
      </c>
      <c r="C37" s="21"/>
      <c r="D37" s="21"/>
      <c r="E37" s="19" t="str">
        <f>IFERROR((VLOOKUP(Table1[[#This Row],[data__id]],'API - io'!$A:$H,5,0)),"-")</f>
        <v>-</v>
      </c>
      <c r="F37" s="19" t="str">
        <f>IFERROR((VLOOKUP(Table1[[#This Row],[data__id]],'API - io'!$A:$H,3,0)),"-")</f>
        <v>-</v>
      </c>
      <c r="G37" s="19" t="str">
        <f>IFERROR((VLOOKUP(A37,'API - io'!$A:$G,4,0)),"-")</f>
        <v>-</v>
      </c>
      <c r="H37" s="19" t="str">
        <f>IFERROR((VLOOKUP(A37,'API - io'!$A:$G,5,0)),"-")</f>
        <v>-</v>
      </c>
      <c r="I37" s="20" t="str">
        <f>IFERROR((VLOOKUP(A37,'API - io'!$A:$G,6,0)),"-")</f>
        <v>-</v>
      </c>
      <c r="J37" s="19" t="str">
        <f>IFERROR((VLOOKUP(A37,'API - io'!$A:$G,7,0)),"-")</f>
        <v>-</v>
      </c>
    </row>
    <row r="38" spans="1:10" x14ac:dyDescent="0.3">
      <c r="A38" s="21"/>
      <c r="B38" s="21" t="str">
        <f>IFERROR((VLOOKUP(Table1[[#This Row],[data__id]],'API - io'!$A:$H,3,0)),"-")</f>
        <v>-</v>
      </c>
      <c r="C38" s="21"/>
      <c r="D38" s="21"/>
      <c r="E38" s="19" t="str">
        <f>IFERROR((VLOOKUP(Table1[[#This Row],[data__id]],'API - io'!$A:$H,5,0)),"-")</f>
        <v>-</v>
      </c>
      <c r="F38" s="19" t="str">
        <f>IFERROR((VLOOKUP(Table1[[#This Row],[data__id]],'API - io'!$A:$H,3,0)),"-")</f>
        <v>-</v>
      </c>
      <c r="G38" s="19" t="str">
        <f>IFERROR((VLOOKUP(A38,'API - io'!$A:$G,4,0)),"-")</f>
        <v>-</v>
      </c>
      <c r="H38" s="19" t="str">
        <f>IFERROR((VLOOKUP(A38,'API - io'!$A:$G,5,0)),"-")</f>
        <v>-</v>
      </c>
      <c r="I38" s="20" t="str">
        <f>IFERROR((VLOOKUP(A38,'API - io'!$A:$G,6,0)),"-")</f>
        <v>-</v>
      </c>
      <c r="J38" s="19" t="str">
        <f>IFERROR((VLOOKUP(A38,'API - io'!$A:$G,7,0)),"-")</f>
        <v>-</v>
      </c>
    </row>
    <row r="39" spans="1:10" x14ac:dyDescent="0.3">
      <c r="A39" s="21"/>
      <c r="B39" s="21" t="str">
        <f>IFERROR((VLOOKUP(Table1[[#This Row],[data__id]],'API - io'!$A:$H,3,0)),"-")</f>
        <v>-</v>
      </c>
      <c r="C39" s="21"/>
      <c r="D39" s="21"/>
      <c r="E39" s="19" t="str">
        <f>IFERROR((VLOOKUP(Table1[[#This Row],[data__id]],'API - io'!$A:$H,5,0)),"-")</f>
        <v>-</v>
      </c>
      <c r="F39" s="19" t="str">
        <f>IFERROR((VLOOKUP(Table1[[#This Row],[data__id]],'API - io'!$A:$H,3,0)),"-")</f>
        <v>-</v>
      </c>
      <c r="G39" s="19" t="str">
        <f>IFERROR((VLOOKUP(A39,'API - io'!$A:$G,4,0)),"-")</f>
        <v>-</v>
      </c>
      <c r="H39" s="19" t="str">
        <f>IFERROR((VLOOKUP(A39,'API - io'!$A:$G,5,0)),"-")</f>
        <v>-</v>
      </c>
      <c r="I39" s="20" t="str">
        <f>IFERROR((VLOOKUP(A39,'API - io'!$A:$G,6,0)),"-")</f>
        <v>-</v>
      </c>
      <c r="J39" s="19" t="str">
        <f>IFERROR((VLOOKUP(A39,'API - io'!$A:$G,7,0)),"-")</f>
        <v>-</v>
      </c>
    </row>
    <row r="40" spans="1:10" x14ac:dyDescent="0.3">
      <c r="A40" s="21"/>
      <c r="B40" s="21" t="str">
        <f>IFERROR((VLOOKUP(Table1[[#This Row],[data__id]],'API - io'!$A:$H,3,0)),"-")</f>
        <v>-</v>
      </c>
      <c r="C40" s="21"/>
      <c r="D40" s="21"/>
      <c r="E40" s="19" t="str">
        <f>IFERROR((VLOOKUP(Table1[[#This Row],[data__id]],'API - io'!$A:$H,5,0)),"-")</f>
        <v>-</v>
      </c>
      <c r="F40" s="19" t="str">
        <f>IFERROR((VLOOKUP(Table1[[#This Row],[data__id]],'API - io'!$A:$H,3,0)),"-")</f>
        <v>-</v>
      </c>
      <c r="G40" s="19" t="str">
        <f>IFERROR((VLOOKUP(A40,'API - io'!$A:$G,4,0)),"-")</f>
        <v>-</v>
      </c>
      <c r="H40" s="19" t="str">
        <f>IFERROR((VLOOKUP(A40,'API - io'!$A:$G,5,0)),"-")</f>
        <v>-</v>
      </c>
      <c r="I40" s="20" t="str">
        <f>IFERROR((VLOOKUP(A40,'API - io'!$A:$G,6,0)),"-")</f>
        <v>-</v>
      </c>
      <c r="J40" s="19" t="str">
        <f>IFERROR((VLOOKUP(A40,'API - io'!$A:$G,7,0)),"-")</f>
        <v>-</v>
      </c>
    </row>
    <row r="41" spans="1:10" x14ac:dyDescent="0.3">
      <c r="A41" s="21"/>
      <c r="B41" s="21" t="str">
        <f>IFERROR((VLOOKUP(Table1[[#This Row],[data__id]],'API - io'!$A:$H,3,0)),"-")</f>
        <v>-</v>
      </c>
      <c r="C41" s="21"/>
      <c r="D41" s="21"/>
      <c r="E41" s="19" t="str">
        <f>IFERROR((VLOOKUP(Table1[[#This Row],[data__id]],'API - io'!$A:$H,5,0)),"-")</f>
        <v>-</v>
      </c>
      <c r="F41" s="19" t="str">
        <f>IFERROR((VLOOKUP(Table1[[#This Row],[data__id]],'API - io'!$A:$H,3,0)),"-")</f>
        <v>-</v>
      </c>
      <c r="G41" s="19" t="str">
        <f>IFERROR((VLOOKUP(A41,'API - io'!$A:$G,4,0)),"-")</f>
        <v>-</v>
      </c>
      <c r="H41" s="19" t="str">
        <f>IFERROR((VLOOKUP(A41,'API - io'!$A:$G,5,0)),"-")</f>
        <v>-</v>
      </c>
      <c r="I41" s="20" t="str">
        <f>IFERROR((VLOOKUP(A41,'API - io'!$A:$G,6,0)),"-")</f>
        <v>-</v>
      </c>
      <c r="J41" s="19" t="str">
        <f>IFERROR((VLOOKUP(A41,'API - io'!$A:$G,7,0)),"-")</f>
        <v>-</v>
      </c>
    </row>
    <row r="42" spans="1:10" x14ac:dyDescent="0.3">
      <c r="A42" s="21"/>
      <c r="B42" s="21" t="str">
        <f>IFERROR((VLOOKUP(Table1[[#This Row],[data__id]],'API - io'!$A:$H,3,0)),"-")</f>
        <v>-</v>
      </c>
      <c r="C42" s="21"/>
      <c r="D42" s="21"/>
      <c r="E42" s="19" t="str">
        <f>IFERROR((VLOOKUP(Table1[[#This Row],[data__id]],'API - io'!$A:$H,5,0)),"-")</f>
        <v>-</v>
      </c>
      <c r="F42" s="19" t="str">
        <f>IFERROR((VLOOKUP(Table1[[#This Row],[data__id]],'API - io'!$A:$H,3,0)),"-")</f>
        <v>-</v>
      </c>
      <c r="G42" s="19" t="str">
        <f>IFERROR((VLOOKUP(A42,'API - io'!$A:$G,4,0)),"-")</f>
        <v>-</v>
      </c>
      <c r="H42" s="19" t="str">
        <f>IFERROR((VLOOKUP(A42,'API - io'!$A:$G,5,0)),"-")</f>
        <v>-</v>
      </c>
      <c r="I42" s="20" t="str">
        <f>IFERROR((VLOOKUP(A42,'API - io'!$A:$G,6,0)),"-")</f>
        <v>-</v>
      </c>
      <c r="J42" s="19" t="str">
        <f>IFERROR((VLOOKUP(A42,'API - io'!$A:$G,7,0)),"-")</f>
        <v>-</v>
      </c>
    </row>
    <row r="43" spans="1:10" x14ac:dyDescent="0.3">
      <c r="A43" s="21"/>
      <c r="B43" s="21" t="str">
        <f>IFERROR((VLOOKUP(Table1[[#This Row],[data__id]],'API - io'!$A:$H,3,0)),"-")</f>
        <v>-</v>
      </c>
      <c r="C43" s="21"/>
      <c r="D43" s="21"/>
      <c r="E43" s="19" t="str">
        <f>IFERROR((VLOOKUP(Table1[[#This Row],[data__id]],'API - io'!$A:$H,5,0)),"-")</f>
        <v>-</v>
      </c>
      <c r="F43" s="19" t="str">
        <f>IFERROR((VLOOKUP(Table1[[#This Row],[data__id]],'API - io'!$A:$H,3,0)),"-")</f>
        <v>-</v>
      </c>
      <c r="G43" s="19" t="str">
        <f>IFERROR((VLOOKUP(A43,'API - io'!$A:$G,4,0)),"-")</f>
        <v>-</v>
      </c>
      <c r="H43" s="19" t="str">
        <f>IFERROR((VLOOKUP(A43,'API - io'!$A:$G,5,0)),"-")</f>
        <v>-</v>
      </c>
      <c r="I43" s="20" t="str">
        <f>IFERROR((VLOOKUP(A43,'API - io'!$A:$G,6,0)),"-")</f>
        <v>-</v>
      </c>
      <c r="J43" s="19" t="str">
        <f>IFERROR((VLOOKUP(A43,'API - io'!$A:$G,7,0)),"-")</f>
        <v>-</v>
      </c>
    </row>
    <row r="44" spans="1:10" x14ac:dyDescent="0.3">
      <c r="A44" s="21"/>
      <c r="B44" s="21" t="str">
        <f>IFERROR((VLOOKUP(Table1[[#This Row],[data__id]],'API - io'!$A:$H,3,0)),"-")</f>
        <v>-</v>
      </c>
      <c r="C44" s="21"/>
      <c r="D44" s="21"/>
      <c r="E44" s="19" t="str">
        <f>IFERROR((VLOOKUP(Table1[[#This Row],[data__id]],'API - io'!$A:$H,5,0)),"-")</f>
        <v>-</v>
      </c>
      <c r="F44" s="19" t="str">
        <f>IFERROR((VLOOKUP(Table1[[#This Row],[data__id]],'API - io'!$A:$H,3,0)),"-")</f>
        <v>-</v>
      </c>
      <c r="G44" s="19" t="str">
        <f>IFERROR((VLOOKUP(A44,'API - io'!$A:$G,4,0)),"-")</f>
        <v>-</v>
      </c>
      <c r="H44" s="19" t="str">
        <f>IFERROR((VLOOKUP(A44,'API - io'!$A:$G,5,0)),"-")</f>
        <v>-</v>
      </c>
      <c r="I44" s="20" t="str">
        <f>IFERROR((VLOOKUP(A44,'API - io'!$A:$G,6,0)),"-")</f>
        <v>-</v>
      </c>
      <c r="J44" s="19" t="str">
        <f>IFERROR((VLOOKUP(A44,'API - io'!$A:$G,7,0)),"-")</f>
        <v>-</v>
      </c>
    </row>
    <row r="45" spans="1:10" x14ac:dyDescent="0.3">
      <c r="A45" s="21"/>
      <c r="B45" s="21" t="str">
        <f>IFERROR((VLOOKUP(Table1[[#This Row],[data__id]],'API - io'!$A:$H,3,0)),"-")</f>
        <v>-</v>
      </c>
      <c r="C45" s="21"/>
      <c r="D45" s="21"/>
      <c r="E45" s="19" t="str">
        <f>IFERROR((VLOOKUP(Table1[[#This Row],[data__id]],'API - io'!$A:$H,5,0)),"-")</f>
        <v>-</v>
      </c>
      <c r="F45" s="19" t="str">
        <f>IFERROR((VLOOKUP(Table1[[#This Row],[data__id]],'API - io'!$A:$H,3,0)),"-")</f>
        <v>-</v>
      </c>
      <c r="G45" s="19" t="str">
        <f>IFERROR((VLOOKUP(A45,'API - io'!$A:$G,4,0)),"-")</f>
        <v>-</v>
      </c>
      <c r="H45" s="19" t="str">
        <f>IFERROR((VLOOKUP(A45,'API - io'!$A:$G,5,0)),"-")</f>
        <v>-</v>
      </c>
      <c r="I45" s="20" t="str">
        <f>IFERROR((VLOOKUP(A45,'API - io'!$A:$G,6,0)),"-")</f>
        <v>-</v>
      </c>
      <c r="J45" s="19" t="str">
        <f>IFERROR((VLOOKUP(A45,'API - io'!$A:$G,7,0)),"-")</f>
        <v>-</v>
      </c>
    </row>
    <row r="46" spans="1:10" x14ac:dyDescent="0.3">
      <c r="A46" s="21"/>
      <c r="B46" s="21" t="str">
        <f>IFERROR((VLOOKUP(Table1[[#This Row],[data__id]],'API - io'!$A:$H,3,0)),"-")</f>
        <v>-</v>
      </c>
      <c r="C46" s="21"/>
      <c r="D46" s="21"/>
      <c r="E46" s="19" t="str">
        <f>IFERROR((VLOOKUP(Table1[[#This Row],[data__id]],'API - io'!$A:$H,5,0)),"-")</f>
        <v>-</v>
      </c>
      <c r="F46" s="19" t="str">
        <f>IFERROR((VLOOKUP(Table1[[#This Row],[data__id]],'API - io'!$A:$H,3,0)),"-")</f>
        <v>-</v>
      </c>
      <c r="G46" s="19" t="str">
        <f>IFERROR((VLOOKUP(A46,'API - io'!$A:$G,4,0)),"-")</f>
        <v>-</v>
      </c>
      <c r="H46" s="19" t="str">
        <f>IFERROR((VLOOKUP(A46,'API - io'!$A:$G,5,0)),"-")</f>
        <v>-</v>
      </c>
      <c r="I46" s="20" t="str">
        <f>IFERROR((VLOOKUP(A46,'API - io'!$A:$G,6,0)),"-")</f>
        <v>-</v>
      </c>
      <c r="J46" s="19" t="str">
        <f>IFERROR((VLOOKUP(A46,'API - io'!$A:$G,7,0)),"-")</f>
        <v>-</v>
      </c>
    </row>
    <row r="47" spans="1:10" x14ac:dyDescent="0.3">
      <c r="A47" s="21"/>
      <c r="B47" s="21" t="str">
        <f>IFERROR((VLOOKUP(Table1[[#This Row],[data__id]],'API - io'!$A:$H,3,0)),"-")</f>
        <v>-</v>
      </c>
      <c r="C47" s="21"/>
      <c r="D47" s="21"/>
      <c r="E47" s="19" t="str">
        <f>IFERROR((VLOOKUP(Table1[[#This Row],[data__id]],'API - io'!$A:$H,5,0)),"-")</f>
        <v>-</v>
      </c>
      <c r="F47" s="19" t="str">
        <f>IFERROR((VLOOKUP(Table1[[#This Row],[data__id]],'API - io'!$A:$H,3,0)),"-")</f>
        <v>-</v>
      </c>
      <c r="G47" s="19" t="str">
        <f>IFERROR((VLOOKUP(A47,'API - io'!$A:$G,4,0)),"-")</f>
        <v>-</v>
      </c>
      <c r="H47" s="19" t="str">
        <f>IFERROR((VLOOKUP(A47,'API - io'!$A:$G,5,0)),"-")</f>
        <v>-</v>
      </c>
      <c r="I47" s="20" t="str">
        <f>IFERROR((VLOOKUP(A47,'API - io'!$A:$G,6,0)),"-")</f>
        <v>-</v>
      </c>
      <c r="J47" s="19" t="str">
        <f>IFERROR((VLOOKUP(A47,'API - io'!$A:$G,7,0)),"-")</f>
        <v>-</v>
      </c>
    </row>
    <row r="48" spans="1:10" x14ac:dyDescent="0.3">
      <c r="A48" s="21"/>
      <c r="B48" s="21" t="str">
        <f>IFERROR((VLOOKUP(Table1[[#This Row],[data__id]],'API - io'!$A:$H,3,0)),"-")</f>
        <v>-</v>
      </c>
      <c r="C48" s="21"/>
      <c r="D48" s="21"/>
      <c r="E48" s="19" t="str">
        <f>IFERROR((VLOOKUP(Table1[[#This Row],[data__id]],'API - io'!$A:$H,5,0)),"-")</f>
        <v>-</v>
      </c>
      <c r="F48" s="19" t="str">
        <f>IFERROR((VLOOKUP(Table1[[#This Row],[data__id]],'API - io'!$A:$H,3,0)),"-")</f>
        <v>-</v>
      </c>
      <c r="G48" s="19" t="str">
        <f>IFERROR((VLOOKUP(A48,'API - io'!$A:$G,4,0)),"-")</f>
        <v>-</v>
      </c>
      <c r="H48" s="19" t="str">
        <f>IFERROR((VLOOKUP(A48,'API - io'!$A:$G,5,0)),"-")</f>
        <v>-</v>
      </c>
      <c r="I48" s="20" t="str">
        <f>IFERROR((VLOOKUP(A48,'API - io'!$A:$G,6,0)),"-")</f>
        <v>-</v>
      </c>
      <c r="J48" s="19" t="str">
        <f>IFERROR((VLOOKUP(A48,'API - io'!$A:$G,7,0)),"-")</f>
        <v>-</v>
      </c>
    </row>
    <row r="49" spans="1:10" x14ac:dyDescent="0.3">
      <c r="A49" s="21"/>
      <c r="B49" s="21" t="str">
        <f>IFERROR((VLOOKUP(Table1[[#This Row],[data__id]],'API - io'!$A:$H,3,0)),"-")</f>
        <v>-</v>
      </c>
      <c r="C49" s="21"/>
      <c r="D49" s="21"/>
      <c r="E49" s="19" t="str">
        <f>IFERROR((VLOOKUP(Table1[[#This Row],[data__id]],'API - io'!$A:$H,5,0)),"-")</f>
        <v>-</v>
      </c>
      <c r="F49" s="19" t="str">
        <f>IFERROR((VLOOKUP(Table1[[#This Row],[data__id]],'API - io'!$A:$H,3,0)),"-")</f>
        <v>-</v>
      </c>
      <c r="G49" s="19" t="str">
        <f>IFERROR((VLOOKUP(A49,'API - io'!$A:$G,4,0)),"-")</f>
        <v>-</v>
      </c>
      <c r="H49" s="19" t="str">
        <f>IFERROR((VLOOKUP(A49,'API - io'!$A:$G,5,0)),"-")</f>
        <v>-</v>
      </c>
      <c r="I49" s="20" t="str">
        <f>IFERROR((VLOOKUP(A49,'API - io'!$A:$G,6,0)),"-")</f>
        <v>-</v>
      </c>
      <c r="J49" s="19" t="str">
        <f>IFERROR((VLOOKUP(A49,'API - io'!$A:$G,7,0)),"-")</f>
        <v>-</v>
      </c>
    </row>
    <row r="50" spans="1:10" x14ac:dyDescent="0.3">
      <c r="A50" s="21"/>
      <c r="B50" s="21" t="str">
        <f>IFERROR((VLOOKUP(Table1[[#This Row],[data__id]],'API - io'!$A:$H,3,0)),"-")</f>
        <v>-</v>
      </c>
      <c r="C50" s="21"/>
      <c r="D50" s="21"/>
      <c r="E50" s="19" t="str">
        <f>IFERROR((VLOOKUP(Table1[[#This Row],[data__id]],'API - io'!$A:$H,5,0)),"-")</f>
        <v>-</v>
      </c>
      <c r="F50" s="19" t="str">
        <f>IFERROR((VLOOKUP(Table1[[#This Row],[data__id]],'API - io'!$A:$H,3,0)),"-")</f>
        <v>-</v>
      </c>
      <c r="G50" s="19" t="str">
        <f>IFERROR((VLOOKUP(A50,'API - io'!$A:$G,4,0)),"-")</f>
        <v>-</v>
      </c>
      <c r="H50" s="19" t="str">
        <f>IFERROR((VLOOKUP(A50,'API - io'!$A:$G,5,0)),"-")</f>
        <v>-</v>
      </c>
      <c r="I50" s="20" t="str">
        <f>IFERROR((VLOOKUP(A50,'API - io'!$A:$G,6,0)),"-")</f>
        <v>-</v>
      </c>
      <c r="J50" s="19" t="str">
        <f>IFERROR((VLOOKUP(A50,'API - io'!$A:$G,7,0)),"-")</f>
        <v>-</v>
      </c>
    </row>
    <row r="51" spans="1:10" x14ac:dyDescent="0.3">
      <c r="A51" s="21"/>
      <c r="B51" s="21" t="str">
        <f>IFERROR((VLOOKUP(Table1[[#This Row],[data__id]],'API - io'!$A:$H,3,0)),"-")</f>
        <v>-</v>
      </c>
      <c r="C51" s="21"/>
      <c r="D51" s="21"/>
      <c r="E51" s="19" t="str">
        <f>IFERROR((VLOOKUP(Table1[[#This Row],[data__id]],'API - io'!$A:$H,5,0)),"-")</f>
        <v>-</v>
      </c>
      <c r="F51" s="19" t="str">
        <f>IFERROR((VLOOKUP(Table1[[#This Row],[data__id]],'API - io'!$A:$H,3,0)),"-")</f>
        <v>-</v>
      </c>
      <c r="G51" s="19" t="str">
        <f>IFERROR((VLOOKUP(A51,'API - io'!$A:$G,4,0)),"-")</f>
        <v>-</v>
      </c>
      <c r="H51" s="19" t="str">
        <f>IFERROR((VLOOKUP(A51,'API - io'!$A:$G,5,0)),"-")</f>
        <v>-</v>
      </c>
      <c r="I51" s="20" t="str">
        <f>IFERROR((VLOOKUP(A51,'API - io'!$A:$G,6,0)),"-")</f>
        <v>-</v>
      </c>
      <c r="J51" s="19" t="str">
        <f>IFERROR((VLOOKUP(A51,'API - io'!$A:$G,7,0)),"-")</f>
        <v>-</v>
      </c>
    </row>
    <row r="52" spans="1:10" x14ac:dyDescent="0.3">
      <c r="A52" s="21"/>
      <c r="B52" s="21" t="str">
        <f>IFERROR((VLOOKUP(Table1[[#This Row],[data__id]],'API - io'!$A:$H,3,0)),"-")</f>
        <v>-</v>
      </c>
      <c r="C52" s="21"/>
      <c r="D52" s="21"/>
      <c r="E52" s="19" t="str">
        <f>IFERROR((VLOOKUP(Table1[[#This Row],[data__id]],'API - io'!$A:$H,5,0)),"-")</f>
        <v>-</v>
      </c>
      <c r="F52" s="19" t="str">
        <f>IFERROR((VLOOKUP(Table1[[#This Row],[data__id]],'API - io'!$A:$H,3,0)),"-")</f>
        <v>-</v>
      </c>
      <c r="G52" s="19" t="str">
        <f>IFERROR((VLOOKUP(A52,'API - io'!$A:$G,4,0)),"-")</f>
        <v>-</v>
      </c>
      <c r="H52" s="19" t="str">
        <f>IFERROR((VLOOKUP(A52,'API - io'!$A:$G,5,0)),"-")</f>
        <v>-</v>
      </c>
      <c r="I52" s="20" t="str">
        <f>IFERROR((VLOOKUP(A52,'API - io'!$A:$G,6,0)),"-")</f>
        <v>-</v>
      </c>
      <c r="J52" s="19" t="str">
        <f>IFERROR((VLOOKUP(A52,'API - io'!$A:$G,7,0)),"-")</f>
        <v>-</v>
      </c>
    </row>
    <row r="53" spans="1:10" x14ac:dyDescent="0.3">
      <c r="A53" s="21"/>
      <c r="B53" s="21" t="str">
        <f>IFERROR((VLOOKUP(Table1[[#This Row],[data__id]],'API - io'!$A:$H,3,0)),"-")</f>
        <v>-</v>
      </c>
      <c r="C53" s="21"/>
      <c r="D53" s="21"/>
      <c r="E53" s="19" t="str">
        <f>IFERROR((VLOOKUP(Table1[[#This Row],[data__id]],'API - io'!$A:$H,5,0)),"-")</f>
        <v>-</v>
      </c>
      <c r="F53" s="19" t="str">
        <f>IFERROR((VLOOKUP(Table1[[#This Row],[data__id]],'API - io'!$A:$H,3,0)),"-")</f>
        <v>-</v>
      </c>
      <c r="G53" s="19" t="str">
        <f>IFERROR((VLOOKUP(A53,'API - io'!$A:$G,4,0)),"-")</f>
        <v>-</v>
      </c>
      <c r="H53" s="19" t="str">
        <f>IFERROR((VLOOKUP(A53,'API - io'!$A:$G,5,0)),"-")</f>
        <v>-</v>
      </c>
      <c r="I53" s="20" t="str">
        <f>IFERROR((VLOOKUP(A53,'API - io'!$A:$G,6,0)),"-")</f>
        <v>-</v>
      </c>
      <c r="J53" s="19" t="str">
        <f>IFERROR((VLOOKUP(A53,'API - io'!$A:$G,7,0)),"-")</f>
        <v>-</v>
      </c>
    </row>
    <row r="54" spans="1:10" x14ac:dyDescent="0.3">
      <c r="A54" s="21"/>
      <c r="B54" s="21" t="str">
        <f>IFERROR((VLOOKUP(Table1[[#This Row],[data__id]],'API - io'!$A:$H,3,0)),"-")</f>
        <v>-</v>
      </c>
      <c r="C54" s="21"/>
      <c r="D54" s="21"/>
      <c r="E54" s="19" t="str">
        <f>IFERROR((VLOOKUP(Table1[[#This Row],[data__id]],'API - io'!$A:$H,5,0)),"-")</f>
        <v>-</v>
      </c>
      <c r="F54" s="19" t="str">
        <f>IFERROR((VLOOKUP(Table1[[#This Row],[data__id]],'API - io'!$A:$H,3,0)),"-")</f>
        <v>-</v>
      </c>
      <c r="G54" s="19" t="str">
        <f>IFERROR((VLOOKUP(A54,'API - io'!$A:$G,4,0)),"-")</f>
        <v>-</v>
      </c>
      <c r="H54" s="19" t="str">
        <f>IFERROR((VLOOKUP(A54,'API - io'!$A:$G,5,0)),"-")</f>
        <v>-</v>
      </c>
      <c r="I54" s="20" t="str">
        <f>IFERROR((VLOOKUP(A54,'API - io'!$A:$G,6,0)),"-")</f>
        <v>-</v>
      </c>
      <c r="J54" s="19" t="str">
        <f>IFERROR((VLOOKUP(A54,'API - io'!$A:$G,7,0)),"-")</f>
        <v>-</v>
      </c>
    </row>
    <row r="55" spans="1:10" x14ac:dyDescent="0.3">
      <c r="A55" s="21"/>
      <c r="B55" s="21" t="str">
        <f>IFERROR((VLOOKUP(Table1[[#This Row],[data__id]],'API - io'!$A:$H,3,0)),"-")</f>
        <v>-</v>
      </c>
      <c r="C55" s="21"/>
      <c r="D55" s="21"/>
      <c r="E55" s="19" t="str">
        <f>IFERROR((VLOOKUP(Table1[[#This Row],[data__id]],'API - io'!$A:$H,5,0)),"-")</f>
        <v>-</v>
      </c>
      <c r="F55" s="19" t="str">
        <f>IFERROR((VLOOKUP(Table1[[#This Row],[data__id]],'API - io'!$A:$H,3,0)),"-")</f>
        <v>-</v>
      </c>
      <c r="G55" s="19" t="str">
        <f>IFERROR((VLOOKUP(A55,'API - io'!$A:$G,4,0)),"-")</f>
        <v>-</v>
      </c>
      <c r="H55" s="19" t="str">
        <f>IFERROR((VLOOKUP(A55,'API - io'!$A:$G,5,0)),"-")</f>
        <v>-</v>
      </c>
      <c r="I55" s="20" t="str">
        <f>IFERROR((VLOOKUP(A55,'API - io'!$A:$G,6,0)),"-")</f>
        <v>-</v>
      </c>
      <c r="J55" s="19" t="str">
        <f>IFERROR((VLOOKUP(A55,'API - io'!$A:$G,7,0)),"-")</f>
        <v>-</v>
      </c>
    </row>
    <row r="56" spans="1:10" x14ac:dyDescent="0.3">
      <c r="A56" s="21"/>
      <c r="B56" s="21" t="str">
        <f>IFERROR((VLOOKUP(Table1[[#This Row],[data__id]],'API - io'!$A:$H,3,0)),"-")</f>
        <v>-</v>
      </c>
      <c r="C56" s="21"/>
      <c r="D56" s="21"/>
      <c r="E56" s="19" t="str">
        <f>IFERROR((VLOOKUP(Table1[[#This Row],[data__id]],'API - io'!$A:$H,5,0)),"-")</f>
        <v>-</v>
      </c>
      <c r="F56" s="19" t="str">
        <f>IFERROR((VLOOKUP(Table1[[#This Row],[data__id]],'API - io'!$A:$H,3,0)),"-")</f>
        <v>-</v>
      </c>
      <c r="G56" s="19" t="str">
        <f>IFERROR((VLOOKUP(A56,'API - io'!$A:$G,4,0)),"-")</f>
        <v>-</v>
      </c>
      <c r="H56" s="19" t="str">
        <f>IFERROR((VLOOKUP(A56,'API - io'!$A:$G,5,0)),"-")</f>
        <v>-</v>
      </c>
      <c r="I56" s="20" t="str">
        <f>IFERROR((VLOOKUP(A56,'API - io'!$A:$G,6,0)),"-")</f>
        <v>-</v>
      </c>
      <c r="J56" s="19" t="str">
        <f>IFERROR((VLOOKUP(A56,'API - io'!$A:$G,7,0)),"-")</f>
        <v>-</v>
      </c>
    </row>
    <row r="57" spans="1:10" x14ac:dyDescent="0.3">
      <c r="A57" s="21"/>
      <c r="B57" s="21" t="str">
        <f>IFERROR((VLOOKUP(Table1[[#This Row],[data__id]],'API - io'!$A:$H,3,0)),"-")</f>
        <v>-</v>
      </c>
      <c r="C57" s="21"/>
      <c r="D57" s="21"/>
      <c r="E57" s="19" t="str">
        <f>IFERROR((VLOOKUP(Table1[[#This Row],[data__id]],'API - io'!$A:$H,5,0)),"-")</f>
        <v>-</v>
      </c>
      <c r="F57" s="19" t="str">
        <f>IFERROR((VLOOKUP(Table1[[#This Row],[data__id]],'API - io'!$A:$H,3,0)),"-")</f>
        <v>-</v>
      </c>
      <c r="G57" s="19" t="str">
        <f>IFERROR((VLOOKUP(A57,'API - io'!$A:$G,4,0)),"-")</f>
        <v>-</v>
      </c>
      <c r="H57" s="19" t="str">
        <f>IFERROR((VLOOKUP(A57,'API - io'!$A:$G,5,0)),"-")</f>
        <v>-</v>
      </c>
      <c r="I57" s="20" t="str">
        <f>IFERROR((VLOOKUP(A57,'API - io'!$A:$G,6,0)),"-")</f>
        <v>-</v>
      </c>
      <c r="J57" s="19" t="str">
        <f>IFERROR((VLOOKUP(A57,'API - io'!$A:$G,7,0)),"-")</f>
        <v>-</v>
      </c>
    </row>
    <row r="58" spans="1:10" x14ac:dyDescent="0.3">
      <c r="A58" s="21"/>
      <c r="B58" s="21" t="str">
        <f>IFERROR((VLOOKUP(Table1[[#This Row],[data__id]],'API - io'!$A:$H,3,0)),"-")</f>
        <v>-</v>
      </c>
      <c r="C58" s="21"/>
      <c r="D58" s="21"/>
      <c r="E58" s="19" t="str">
        <f>IFERROR((VLOOKUP(Table1[[#This Row],[data__id]],'API - io'!$A:$H,5,0)),"-")</f>
        <v>-</v>
      </c>
      <c r="F58" s="19" t="str">
        <f>IFERROR((VLOOKUP(Table1[[#This Row],[data__id]],'API - io'!$A:$H,3,0)),"-")</f>
        <v>-</v>
      </c>
      <c r="G58" s="19" t="str">
        <f>IFERROR((VLOOKUP(A58,'API - io'!$A:$G,4,0)),"-")</f>
        <v>-</v>
      </c>
      <c r="H58" s="19" t="str">
        <f>IFERROR((VLOOKUP(A58,'API - io'!$A:$G,5,0)),"-")</f>
        <v>-</v>
      </c>
      <c r="I58" s="20" t="str">
        <f>IFERROR((VLOOKUP(A58,'API - io'!$A:$G,6,0)),"-")</f>
        <v>-</v>
      </c>
      <c r="J58" s="19" t="str">
        <f>IFERROR((VLOOKUP(A58,'API - io'!$A:$G,7,0)),"-")</f>
        <v>-</v>
      </c>
    </row>
    <row r="59" spans="1:10" x14ac:dyDescent="0.3">
      <c r="A59" s="21"/>
      <c r="B59" s="21" t="str">
        <f>IFERROR((VLOOKUP(Table1[[#This Row],[data__id]],'API - io'!$A:$H,3,0)),"-")</f>
        <v>-</v>
      </c>
      <c r="C59" s="21"/>
      <c r="D59" s="21"/>
      <c r="E59" s="19" t="str">
        <f>IFERROR((VLOOKUP(Table1[[#This Row],[data__id]],'API - io'!$A:$H,5,0)),"-")</f>
        <v>-</v>
      </c>
      <c r="F59" s="19" t="str">
        <f>IFERROR((VLOOKUP(Table1[[#This Row],[data__id]],'API - io'!$A:$H,3,0)),"-")</f>
        <v>-</v>
      </c>
      <c r="G59" s="19" t="str">
        <f>IFERROR((VLOOKUP(A59,'API - io'!$A:$G,4,0)),"-")</f>
        <v>-</v>
      </c>
      <c r="H59" s="19" t="str">
        <f>IFERROR((VLOOKUP(A59,'API - io'!$A:$G,5,0)),"-")</f>
        <v>-</v>
      </c>
      <c r="I59" s="20" t="str">
        <f>IFERROR((VLOOKUP(A59,'API - io'!$A:$G,6,0)),"-")</f>
        <v>-</v>
      </c>
      <c r="J59" s="19" t="str">
        <f>IFERROR((VLOOKUP(A59,'API - io'!$A:$G,7,0)),"-")</f>
        <v>-</v>
      </c>
    </row>
    <row r="60" spans="1:10" x14ac:dyDescent="0.3">
      <c r="A60" s="21"/>
      <c r="B60" s="21" t="str">
        <f>IFERROR((VLOOKUP(Table1[[#This Row],[data__id]],'API - io'!$A:$H,3,0)),"-")</f>
        <v>-</v>
      </c>
      <c r="C60" s="21"/>
      <c r="D60" s="21"/>
      <c r="E60" s="19" t="str">
        <f>IFERROR((VLOOKUP(Table1[[#This Row],[data__id]],'API - io'!$A:$H,5,0)),"-")</f>
        <v>-</v>
      </c>
      <c r="F60" s="19" t="str">
        <f>IFERROR((VLOOKUP(Table1[[#This Row],[data__id]],'API - io'!$A:$H,3,0)),"-")</f>
        <v>-</v>
      </c>
      <c r="G60" s="19" t="str">
        <f>IFERROR((VLOOKUP(A60,'API - io'!$A:$G,4,0)),"-")</f>
        <v>-</v>
      </c>
      <c r="H60" s="19" t="str">
        <f>IFERROR((VLOOKUP(A60,'API - io'!$A:$G,5,0)),"-")</f>
        <v>-</v>
      </c>
      <c r="I60" s="20" t="str">
        <f>IFERROR((VLOOKUP(A60,'API - io'!$A:$G,6,0)),"-")</f>
        <v>-</v>
      </c>
      <c r="J60" s="19" t="str">
        <f>IFERROR((VLOOKUP(A60,'API - io'!$A:$G,7,0)),"-")</f>
        <v>-</v>
      </c>
    </row>
    <row r="61" spans="1:10" x14ac:dyDescent="0.3">
      <c r="A61" s="21"/>
      <c r="B61" s="21" t="str">
        <f>IFERROR((VLOOKUP(Table1[[#This Row],[data__id]],'API - io'!$A:$H,3,0)),"-")</f>
        <v>-</v>
      </c>
      <c r="C61" s="21"/>
      <c r="D61" s="21"/>
      <c r="E61" s="19" t="str">
        <f>IFERROR((VLOOKUP(Table1[[#This Row],[data__id]],'API - io'!$A:$H,5,0)),"-")</f>
        <v>-</v>
      </c>
      <c r="F61" s="19" t="str">
        <f>IFERROR((VLOOKUP(Table1[[#This Row],[data__id]],'API - io'!$A:$H,3,0)),"-")</f>
        <v>-</v>
      </c>
      <c r="G61" s="19" t="str">
        <f>IFERROR((VLOOKUP(A61,'API - io'!$A:$G,4,0)),"-")</f>
        <v>-</v>
      </c>
      <c r="H61" s="19" t="str">
        <f>IFERROR((VLOOKUP(A61,'API - io'!$A:$G,5,0)),"-")</f>
        <v>-</v>
      </c>
      <c r="I61" s="20" t="str">
        <f>IFERROR((VLOOKUP(A61,'API - io'!$A:$G,6,0)),"-")</f>
        <v>-</v>
      </c>
      <c r="J61" s="19" t="str">
        <f>IFERROR((VLOOKUP(A61,'API - io'!$A:$G,7,0)),"-")</f>
        <v>-</v>
      </c>
    </row>
    <row r="62" spans="1:10" x14ac:dyDescent="0.3">
      <c r="A62" s="21"/>
      <c r="B62" s="21" t="str">
        <f>IFERROR((VLOOKUP(Table1[[#This Row],[data__id]],'API - io'!$A:$H,3,0)),"-")</f>
        <v>-</v>
      </c>
      <c r="C62" s="21"/>
      <c r="D62" s="21"/>
      <c r="E62" s="19" t="str">
        <f>IFERROR((VLOOKUP(Table1[[#This Row],[data__id]],'API - io'!$A:$H,5,0)),"-")</f>
        <v>-</v>
      </c>
      <c r="F62" s="19" t="str">
        <f>IFERROR((VLOOKUP(Table1[[#This Row],[data__id]],'API - io'!$A:$H,3,0)),"-")</f>
        <v>-</v>
      </c>
      <c r="G62" s="19" t="str">
        <f>IFERROR((VLOOKUP(A62,'API - io'!$A:$G,4,0)),"-")</f>
        <v>-</v>
      </c>
      <c r="H62" s="19" t="str">
        <f>IFERROR((VLOOKUP(A62,'API - io'!$A:$G,5,0)),"-")</f>
        <v>-</v>
      </c>
      <c r="I62" s="20" t="str">
        <f>IFERROR((VLOOKUP(A62,'API - io'!$A:$G,6,0)),"-")</f>
        <v>-</v>
      </c>
      <c r="J62" s="19" t="str">
        <f>IFERROR((VLOOKUP(A62,'API - io'!$A:$G,7,0)),"-")</f>
        <v>-</v>
      </c>
    </row>
    <row r="63" spans="1:10" x14ac:dyDescent="0.3">
      <c r="A63" s="21"/>
      <c r="B63" s="21" t="str">
        <f>IFERROR((VLOOKUP(Table1[[#This Row],[data__id]],'API - io'!$A:$H,3,0)),"-")</f>
        <v>-</v>
      </c>
      <c r="C63" s="21"/>
      <c r="D63" s="21"/>
      <c r="E63" s="19" t="str">
        <f>IFERROR((VLOOKUP(Table1[[#This Row],[data__id]],'API - io'!$A:$H,5,0)),"-")</f>
        <v>-</v>
      </c>
      <c r="F63" s="19" t="str">
        <f>IFERROR((VLOOKUP(Table1[[#This Row],[data__id]],'API - io'!$A:$H,3,0)),"-")</f>
        <v>-</v>
      </c>
      <c r="G63" s="19" t="str">
        <f>IFERROR((VLOOKUP(A63,'API - io'!$A:$G,4,0)),"-")</f>
        <v>-</v>
      </c>
      <c r="H63" s="19" t="str">
        <f>IFERROR((VLOOKUP(A63,'API - io'!$A:$G,5,0)),"-")</f>
        <v>-</v>
      </c>
      <c r="I63" s="20" t="str">
        <f>IFERROR((VLOOKUP(A63,'API - io'!$A:$G,6,0)),"-")</f>
        <v>-</v>
      </c>
      <c r="J63" s="19" t="str">
        <f>IFERROR((VLOOKUP(A63,'API - io'!$A:$G,7,0)),"-")</f>
        <v>-</v>
      </c>
    </row>
    <row r="64" spans="1:10" x14ac:dyDescent="0.3">
      <c r="A64" s="21"/>
      <c r="B64" s="21" t="str">
        <f>IFERROR((VLOOKUP(Table1[[#This Row],[data__id]],'API - io'!$A:$H,3,0)),"-")</f>
        <v>-</v>
      </c>
      <c r="C64" s="21"/>
      <c r="D64" s="21"/>
      <c r="E64" s="19" t="str">
        <f>IFERROR((VLOOKUP(Table1[[#This Row],[data__id]],'API - io'!$A:$H,5,0)),"-")</f>
        <v>-</v>
      </c>
      <c r="F64" s="19" t="str">
        <f>IFERROR((VLOOKUP(Table1[[#This Row],[data__id]],'API - io'!$A:$H,3,0)),"-")</f>
        <v>-</v>
      </c>
      <c r="G64" s="19" t="str">
        <f>IFERROR((VLOOKUP(A64,'API - io'!$A:$G,4,0)),"-")</f>
        <v>-</v>
      </c>
      <c r="H64" s="19" t="str">
        <f>IFERROR((VLOOKUP(A64,'API - io'!$A:$G,5,0)),"-")</f>
        <v>-</v>
      </c>
      <c r="I64" s="20" t="str">
        <f>IFERROR((VLOOKUP(A64,'API - io'!$A:$G,6,0)),"-")</f>
        <v>-</v>
      </c>
      <c r="J64" s="19" t="str">
        <f>IFERROR((VLOOKUP(A64,'API - io'!$A:$G,7,0)),"-")</f>
        <v>-</v>
      </c>
    </row>
    <row r="65" spans="1:10" x14ac:dyDescent="0.3">
      <c r="A65" s="21"/>
      <c r="B65" s="21" t="str">
        <f>IFERROR((VLOOKUP(Table1[[#This Row],[data__id]],'API - io'!$A:$H,3,0)),"-")</f>
        <v>-</v>
      </c>
      <c r="C65" s="21"/>
      <c r="D65" s="21"/>
      <c r="E65" s="19" t="str">
        <f>IFERROR((VLOOKUP(Table1[[#This Row],[data__id]],'API - io'!$A:$H,5,0)),"-")</f>
        <v>-</v>
      </c>
      <c r="F65" s="19" t="str">
        <f>IFERROR((VLOOKUP(Table1[[#This Row],[data__id]],'API - io'!$A:$H,3,0)),"-")</f>
        <v>-</v>
      </c>
      <c r="G65" s="19" t="str">
        <f>IFERROR((VLOOKUP(A65,'API - io'!$A:$G,4,0)),"-")</f>
        <v>-</v>
      </c>
      <c r="H65" s="19" t="str">
        <f>IFERROR((VLOOKUP(A65,'API - io'!$A:$G,5,0)),"-")</f>
        <v>-</v>
      </c>
      <c r="I65" s="20" t="str">
        <f>IFERROR((VLOOKUP(A65,'API - io'!$A:$G,6,0)),"-")</f>
        <v>-</v>
      </c>
      <c r="J65" s="19" t="str">
        <f>IFERROR((VLOOKUP(A65,'API - io'!$A:$G,7,0)),"-")</f>
        <v>-</v>
      </c>
    </row>
    <row r="66" spans="1:10" x14ac:dyDescent="0.3">
      <c r="A66" s="21"/>
      <c r="B66" s="21" t="str">
        <f>IFERROR((VLOOKUP(Table1[[#This Row],[data__id]],'API - io'!$A:$H,3,0)),"-")</f>
        <v>-</v>
      </c>
      <c r="C66" s="21"/>
      <c r="D66" s="21"/>
      <c r="E66" s="19" t="str">
        <f>IFERROR((VLOOKUP(Table1[[#This Row],[data__id]],'API - io'!$A:$H,5,0)),"-")</f>
        <v>-</v>
      </c>
      <c r="F66" s="19" t="str">
        <f>IFERROR((VLOOKUP(Table1[[#This Row],[data__id]],'API - io'!$A:$H,3,0)),"-")</f>
        <v>-</v>
      </c>
      <c r="G66" s="19" t="str">
        <f>IFERROR((VLOOKUP(A66,'API - io'!$A:$G,4,0)),"-")</f>
        <v>-</v>
      </c>
      <c r="H66" s="19" t="str">
        <f>IFERROR((VLOOKUP(A66,'API - io'!$A:$G,5,0)),"-")</f>
        <v>-</v>
      </c>
      <c r="I66" s="20" t="str">
        <f>IFERROR((VLOOKUP(A66,'API - io'!$A:$G,6,0)),"-")</f>
        <v>-</v>
      </c>
      <c r="J66" s="19" t="str">
        <f>IFERROR((VLOOKUP(A66,'API - io'!$A:$G,7,0)),"-")</f>
        <v>-</v>
      </c>
    </row>
    <row r="67" spans="1:10" x14ac:dyDescent="0.3">
      <c r="A67" s="21"/>
      <c r="B67" s="21" t="str">
        <f>IFERROR((VLOOKUP(Table1[[#This Row],[data__id]],'API - io'!$A:$H,3,0)),"-")</f>
        <v>-</v>
      </c>
      <c r="C67" s="21"/>
      <c r="D67" s="21"/>
      <c r="E67" s="19" t="str">
        <f>IFERROR((VLOOKUP(Table1[[#This Row],[data__id]],'API - io'!$A:$H,5,0)),"-")</f>
        <v>-</v>
      </c>
      <c r="F67" s="19" t="str">
        <f>IFERROR((VLOOKUP(Table1[[#This Row],[data__id]],'API - io'!$A:$H,3,0)),"-")</f>
        <v>-</v>
      </c>
      <c r="G67" s="19" t="str">
        <f>IFERROR((VLOOKUP(A67,'API - io'!$A:$G,4,0)),"-")</f>
        <v>-</v>
      </c>
      <c r="H67" s="19" t="str">
        <f>IFERROR((VLOOKUP(A67,'API - io'!$A:$G,5,0)),"-")</f>
        <v>-</v>
      </c>
      <c r="I67" s="20" t="str">
        <f>IFERROR((VLOOKUP(A67,'API - io'!$A:$G,6,0)),"-")</f>
        <v>-</v>
      </c>
      <c r="J67" s="19" t="str">
        <f>IFERROR((VLOOKUP(A67,'API - io'!$A:$G,7,0)),"-")</f>
        <v>-</v>
      </c>
    </row>
    <row r="68" spans="1:10" x14ac:dyDescent="0.3">
      <c r="A68" s="21"/>
      <c r="B68" s="21" t="str">
        <f>IFERROR((VLOOKUP(Table1[[#This Row],[data__id]],'API - io'!$A:$H,3,0)),"-")</f>
        <v>-</v>
      </c>
      <c r="C68" s="21"/>
      <c r="D68" s="21"/>
      <c r="E68" s="19" t="str">
        <f>IFERROR((VLOOKUP(Table1[[#This Row],[data__id]],'API - io'!$A:$H,5,0)),"-")</f>
        <v>-</v>
      </c>
      <c r="F68" s="19" t="str">
        <f>IFERROR((VLOOKUP(Table1[[#This Row],[data__id]],'API - io'!$A:$H,3,0)),"-")</f>
        <v>-</v>
      </c>
      <c r="G68" s="19" t="str">
        <f>IFERROR((VLOOKUP(A68,'API - io'!$A:$G,4,0)),"-")</f>
        <v>-</v>
      </c>
      <c r="H68" s="19" t="str">
        <f>IFERROR((VLOOKUP(A68,'API - io'!$A:$G,5,0)),"-")</f>
        <v>-</v>
      </c>
      <c r="I68" s="20" t="str">
        <f>IFERROR((VLOOKUP(A68,'API - io'!$A:$G,6,0)),"-")</f>
        <v>-</v>
      </c>
      <c r="J68" s="19" t="str">
        <f>IFERROR((VLOOKUP(A68,'API - io'!$A:$G,7,0)),"-")</f>
        <v>-</v>
      </c>
    </row>
    <row r="69" spans="1:10" x14ac:dyDescent="0.3">
      <c r="A69" s="21"/>
      <c r="B69" s="21" t="str">
        <f>IFERROR((VLOOKUP(Table1[[#This Row],[data__id]],'API - io'!$A:$H,3,0)),"-")</f>
        <v>-</v>
      </c>
      <c r="C69" s="21"/>
      <c r="D69" s="21"/>
      <c r="E69" s="19" t="str">
        <f>IFERROR((VLOOKUP(Table1[[#This Row],[data__id]],'API - io'!$A:$H,5,0)),"-")</f>
        <v>-</v>
      </c>
      <c r="F69" s="19" t="str">
        <f>IFERROR((VLOOKUP(Table1[[#This Row],[data__id]],'API - io'!$A:$H,3,0)),"-")</f>
        <v>-</v>
      </c>
      <c r="G69" s="19" t="str">
        <f>IFERROR((VLOOKUP(A69,'API - io'!$A:$G,4,0)),"-")</f>
        <v>-</v>
      </c>
      <c r="H69" s="19" t="str">
        <f>IFERROR((VLOOKUP(A69,'API - io'!$A:$G,5,0)),"-")</f>
        <v>-</v>
      </c>
      <c r="I69" s="20" t="str">
        <f>IFERROR((VLOOKUP(A69,'API - io'!$A:$G,6,0)),"-")</f>
        <v>-</v>
      </c>
      <c r="J69" s="19" t="str">
        <f>IFERROR((VLOOKUP(A69,'API - io'!$A:$G,7,0)),"-")</f>
        <v>-</v>
      </c>
    </row>
    <row r="70" spans="1:10" x14ac:dyDescent="0.3">
      <c r="A70" s="21"/>
      <c r="B70" s="21" t="str">
        <f>IFERROR((VLOOKUP(Table1[[#This Row],[data__id]],'API - io'!$A:$H,3,0)),"-")</f>
        <v>-</v>
      </c>
      <c r="C70" s="21"/>
      <c r="D70" s="21"/>
      <c r="E70" s="19" t="str">
        <f>IFERROR((VLOOKUP(Table1[[#This Row],[data__id]],'API - io'!$A:$H,5,0)),"-")</f>
        <v>-</v>
      </c>
      <c r="F70" s="19" t="str">
        <f>IFERROR((VLOOKUP(Table1[[#This Row],[data__id]],'API - io'!$A:$H,3,0)),"-")</f>
        <v>-</v>
      </c>
      <c r="G70" s="19" t="str">
        <f>IFERROR((VLOOKUP(A70,'API - io'!$A:$G,4,0)),"-")</f>
        <v>-</v>
      </c>
      <c r="H70" s="19" t="str">
        <f>IFERROR((VLOOKUP(A70,'API - io'!$A:$G,5,0)),"-")</f>
        <v>-</v>
      </c>
      <c r="I70" s="20" t="str">
        <f>IFERROR((VLOOKUP(A70,'API - io'!$A:$G,6,0)),"-")</f>
        <v>-</v>
      </c>
      <c r="J70" s="19" t="str">
        <f>IFERROR((VLOOKUP(A70,'API - io'!$A:$G,7,0)),"-")</f>
        <v>-</v>
      </c>
    </row>
    <row r="71" spans="1:10" x14ac:dyDescent="0.3">
      <c r="A71" s="21"/>
      <c r="B71" s="21" t="str">
        <f>IFERROR((VLOOKUP(Table1[[#This Row],[data__id]],'API - io'!$A:$H,3,0)),"-")</f>
        <v>-</v>
      </c>
      <c r="C71" s="21"/>
      <c r="D71" s="21"/>
      <c r="E71" s="19" t="str">
        <f>IFERROR((VLOOKUP(Table1[[#This Row],[data__id]],'API - io'!$A:$H,5,0)),"-")</f>
        <v>-</v>
      </c>
      <c r="F71" s="19" t="str">
        <f>IFERROR((VLOOKUP(Table1[[#This Row],[data__id]],'API - io'!$A:$H,3,0)),"-")</f>
        <v>-</v>
      </c>
      <c r="G71" s="19" t="str">
        <f>IFERROR((VLOOKUP(A71,'API - io'!$A:$G,4,0)),"-")</f>
        <v>-</v>
      </c>
      <c r="H71" s="19" t="str">
        <f>IFERROR((VLOOKUP(A71,'API - io'!$A:$G,5,0)),"-")</f>
        <v>-</v>
      </c>
      <c r="I71" s="20" t="str">
        <f>IFERROR((VLOOKUP(A71,'API - io'!$A:$G,6,0)),"-")</f>
        <v>-</v>
      </c>
      <c r="J71" s="19" t="str">
        <f>IFERROR((VLOOKUP(A71,'API - io'!$A:$G,7,0)),"-")</f>
        <v>-</v>
      </c>
    </row>
    <row r="72" spans="1:10" x14ac:dyDescent="0.3">
      <c r="A72" s="21"/>
      <c r="B72" s="21" t="str">
        <f>IFERROR((VLOOKUP(Table1[[#This Row],[data__id]],'API - io'!$A:$H,3,0)),"-")</f>
        <v>-</v>
      </c>
      <c r="C72" s="21"/>
      <c r="D72" s="21"/>
      <c r="E72" s="19" t="str">
        <f>IFERROR((VLOOKUP(Table1[[#This Row],[data__id]],'API - io'!$A:$H,5,0)),"-")</f>
        <v>-</v>
      </c>
      <c r="F72" s="19" t="str">
        <f>IFERROR((VLOOKUP(Table1[[#This Row],[data__id]],'API - io'!$A:$H,3,0)),"-")</f>
        <v>-</v>
      </c>
      <c r="G72" s="19" t="str">
        <f>IFERROR((VLOOKUP(A72,'API - io'!$A:$G,4,0)),"-")</f>
        <v>-</v>
      </c>
      <c r="H72" s="19" t="str">
        <f>IFERROR((VLOOKUP(A72,'API - io'!$A:$G,5,0)),"-")</f>
        <v>-</v>
      </c>
      <c r="I72" s="20" t="str">
        <f>IFERROR((VLOOKUP(A72,'API - io'!$A:$G,6,0)),"-")</f>
        <v>-</v>
      </c>
      <c r="J72" s="19" t="str">
        <f>IFERROR((VLOOKUP(A72,'API - io'!$A:$G,7,0)),"-")</f>
        <v>-</v>
      </c>
    </row>
    <row r="73" spans="1:10" x14ac:dyDescent="0.3">
      <c r="A73" s="21"/>
      <c r="B73" s="21" t="str">
        <f>IFERROR((VLOOKUP(Table1[[#This Row],[data__id]],'API - io'!$A:$H,3,0)),"-")</f>
        <v>-</v>
      </c>
      <c r="C73" s="21"/>
      <c r="D73" s="21"/>
      <c r="E73" s="19" t="str">
        <f>IFERROR((VLOOKUP(Table1[[#This Row],[data__id]],'API - io'!$A:$H,5,0)),"-")</f>
        <v>-</v>
      </c>
      <c r="F73" s="19" t="str">
        <f>IFERROR((VLOOKUP(Table1[[#This Row],[data__id]],'API - io'!$A:$H,3,0)),"-")</f>
        <v>-</v>
      </c>
      <c r="G73" s="19" t="str">
        <f>IFERROR((VLOOKUP(A73,'API - io'!$A:$G,4,0)),"-")</f>
        <v>-</v>
      </c>
      <c r="H73" s="19" t="str">
        <f>IFERROR((VLOOKUP(A73,'API - io'!$A:$G,5,0)),"-")</f>
        <v>-</v>
      </c>
      <c r="I73" s="20" t="str">
        <f>IFERROR((VLOOKUP(A73,'API - io'!$A:$G,6,0)),"-")</f>
        <v>-</v>
      </c>
      <c r="J73" s="19" t="str">
        <f>IFERROR((VLOOKUP(A73,'API - io'!$A:$G,7,0)),"-")</f>
        <v>-</v>
      </c>
    </row>
    <row r="74" spans="1:10" x14ac:dyDescent="0.3">
      <c r="A74" s="21"/>
      <c r="B74" s="21" t="str">
        <f>IFERROR((VLOOKUP(Table1[[#This Row],[data__id]],'API - io'!$A:$H,3,0)),"-")</f>
        <v>-</v>
      </c>
      <c r="C74" s="21"/>
      <c r="D74" s="21"/>
      <c r="E74" s="19" t="str">
        <f>IFERROR((VLOOKUP(Table1[[#This Row],[data__id]],'API - io'!$A:$H,5,0)),"-")</f>
        <v>-</v>
      </c>
      <c r="F74" s="19" t="str">
        <f>IFERROR((VLOOKUP(Table1[[#This Row],[data__id]],'API - io'!$A:$H,3,0)),"-")</f>
        <v>-</v>
      </c>
      <c r="G74" s="19" t="str">
        <f>IFERROR((VLOOKUP(A74,'API - io'!$A:$G,4,0)),"-")</f>
        <v>-</v>
      </c>
      <c r="H74" s="19" t="str">
        <f>IFERROR((VLOOKUP(A74,'API - io'!$A:$G,5,0)),"-")</f>
        <v>-</v>
      </c>
      <c r="I74" s="20" t="str">
        <f>IFERROR((VLOOKUP(A74,'API - io'!$A:$G,6,0)),"-")</f>
        <v>-</v>
      </c>
      <c r="J74" s="19" t="str">
        <f>IFERROR((VLOOKUP(A74,'API - io'!$A:$G,7,0)),"-")</f>
        <v>-</v>
      </c>
    </row>
    <row r="75" spans="1:10" x14ac:dyDescent="0.3">
      <c r="A75" s="21"/>
      <c r="B75" s="21" t="str">
        <f>IFERROR((VLOOKUP(Table1[[#This Row],[data__id]],'API - io'!$A:$H,3,0)),"-")</f>
        <v>-</v>
      </c>
      <c r="C75" s="21"/>
      <c r="D75" s="21"/>
      <c r="E75" s="19" t="str">
        <f>IFERROR((VLOOKUP(Table1[[#This Row],[data__id]],'API - io'!$A:$H,5,0)),"-")</f>
        <v>-</v>
      </c>
      <c r="F75" s="19" t="str">
        <f>IFERROR((VLOOKUP(Table1[[#This Row],[data__id]],'API - io'!$A:$H,3,0)),"-")</f>
        <v>-</v>
      </c>
      <c r="G75" s="19" t="str">
        <f>IFERROR((VLOOKUP(A75,'API - io'!$A:$G,4,0)),"-")</f>
        <v>-</v>
      </c>
      <c r="H75" s="19" t="str">
        <f>IFERROR((VLOOKUP(A75,'API - io'!$A:$G,5,0)),"-")</f>
        <v>-</v>
      </c>
      <c r="I75" s="20" t="str">
        <f>IFERROR((VLOOKUP(A75,'API - io'!$A:$G,6,0)),"-")</f>
        <v>-</v>
      </c>
      <c r="J75" s="19" t="str">
        <f>IFERROR((VLOOKUP(A75,'API - io'!$A:$G,7,0)),"-")</f>
        <v>-</v>
      </c>
    </row>
    <row r="76" spans="1:10" x14ac:dyDescent="0.3">
      <c r="A76" s="21"/>
      <c r="B76" s="21" t="str">
        <f>IFERROR((VLOOKUP(Table1[[#This Row],[data__id]],'API - io'!$A:$H,3,0)),"-")</f>
        <v>-</v>
      </c>
      <c r="C76" s="21"/>
      <c r="D76" s="21"/>
      <c r="E76" s="19" t="str">
        <f>IFERROR((VLOOKUP(Table1[[#This Row],[data__id]],'API - io'!$A:$H,5,0)),"-")</f>
        <v>-</v>
      </c>
      <c r="F76" s="19" t="str">
        <f>IFERROR((VLOOKUP(Table1[[#This Row],[data__id]],'API - io'!$A:$H,3,0)),"-")</f>
        <v>-</v>
      </c>
      <c r="G76" s="19" t="str">
        <f>IFERROR((VLOOKUP(A76,'API - io'!$A:$G,4,0)),"-")</f>
        <v>-</v>
      </c>
      <c r="H76" s="19" t="str">
        <f>IFERROR((VLOOKUP(A76,'API - io'!$A:$G,5,0)),"-")</f>
        <v>-</v>
      </c>
      <c r="I76" s="20" t="str">
        <f>IFERROR((VLOOKUP(A76,'API - io'!$A:$G,6,0)),"-")</f>
        <v>-</v>
      </c>
      <c r="J76" s="19" t="str">
        <f>IFERROR((VLOOKUP(A76,'API - io'!$A:$G,7,0)),"-")</f>
        <v>-</v>
      </c>
    </row>
    <row r="77" spans="1:10" x14ac:dyDescent="0.3">
      <c r="A77" s="21"/>
      <c r="B77" s="21" t="str">
        <f>IFERROR((VLOOKUP(Table1[[#This Row],[data__id]],'API - io'!$A:$H,3,0)),"-")</f>
        <v>-</v>
      </c>
      <c r="C77" s="21"/>
      <c r="D77" s="21"/>
      <c r="E77" s="19" t="str">
        <f>IFERROR((VLOOKUP(Table1[[#This Row],[data__id]],'API - io'!$A:$H,5,0)),"-")</f>
        <v>-</v>
      </c>
      <c r="F77" s="19" t="str">
        <f>IFERROR((VLOOKUP(Table1[[#This Row],[data__id]],'API - io'!$A:$H,3,0)),"-")</f>
        <v>-</v>
      </c>
      <c r="G77" s="19" t="str">
        <f>IFERROR((VLOOKUP(A77,'API - io'!$A:$G,4,0)),"-")</f>
        <v>-</v>
      </c>
      <c r="H77" s="19" t="str">
        <f>IFERROR((VLOOKUP(A77,'API - io'!$A:$G,5,0)),"-")</f>
        <v>-</v>
      </c>
      <c r="I77" s="20" t="str">
        <f>IFERROR((VLOOKUP(A77,'API - io'!$A:$G,6,0)),"-")</f>
        <v>-</v>
      </c>
      <c r="J77" s="19" t="str">
        <f>IFERROR((VLOOKUP(A77,'API - io'!$A:$G,7,0)),"-")</f>
        <v>-</v>
      </c>
    </row>
    <row r="78" spans="1:10" x14ac:dyDescent="0.3">
      <c r="A78" s="21"/>
      <c r="B78" s="21" t="str">
        <f>IFERROR((VLOOKUP(Table1[[#This Row],[data__id]],'API - io'!$A:$H,3,0)),"-")</f>
        <v>-</v>
      </c>
      <c r="C78" s="21"/>
      <c r="D78" s="21"/>
      <c r="E78" s="19" t="str">
        <f>IFERROR((VLOOKUP(Table1[[#This Row],[data__id]],'API - io'!$A:$H,5,0)),"-")</f>
        <v>-</v>
      </c>
      <c r="F78" s="19" t="str">
        <f>IFERROR((VLOOKUP(Table1[[#This Row],[data__id]],'API - io'!$A:$H,3,0)),"-")</f>
        <v>-</v>
      </c>
      <c r="G78" s="19" t="str">
        <f>IFERROR((VLOOKUP(A78,'API - io'!$A:$G,4,0)),"-")</f>
        <v>-</v>
      </c>
      <c r="H78" s="19" t="str">
        <f>IFERROR((VLOOKUP(A78,'API - io'!$A:$G,5,0)),"-")</f>
        <v>-</v>
      </c>
      <c r="I78" s="20" t="str">
        <f>IFERROR((VLOOKUP(A78,'API - io'!$A:$G,6,0)),"-")</f>
        <v>-</v>
      </c>
      <c r="J78" s="19" t="str">
        <f>IFERROR((VLOOKUP(A78,'API - io'!$A:$G,7,0)),"-")</f>
        <v>-</v>
      </c>
    </row>
    <row r="79" spans="1:10" x14ac:dyDescent="0.3">
      <c r="A79" s="21"/>
      <c r="B79" s="21" t="str">
        <f>IFERROR((VLOOKUP(Table1[[#This Row],[data__id]],'API - io'!$A:$H,3,0)),"-")</f>
        <v>-</v>
      </c>
      <c r="C79" s="21"/>
      <c r="D79" s="21"/>
      <c r="E79" s="19" t="str">
        <f>IFERROR((VLOOKUP(Table1[[#This Row],[data__id]],'API - io'!$A:$H,5,0)),"-")</f>
        <v>-</v>
      </c>
      <c r="F79" s="19" t="str">
        <f>IFERROR((VLOOKUP(Table1[[#This Row],[data__id]],'API - io'!$A:$H,3,0)),"-")</f>
        <v>-</v>
      </c>
      <c r="G79" s="19" t="str">
        <f>IFERROR((VLOOKUP(A79,'API - io'!$A:$G,4,0)),"-")</f>
        <v>-</v>
      </c>
      <c r="H79" s="19" t="str">
        <f>IFERROR((VLOOKUP(A79,'API - io'!$A:$G,5,0)),"-")</f>
        <v>-</v>
      </c>
      <c r="I79" s="20" t="str">
        <f>IFERROR((VLOOKUP(A79,'API - io'!$A:$G,6,0)),"-")</f>
        <v>-</v>
      </c>
      <c r="J79" s="19" t="str">
        <f>IFERROR((VLOOKUP(A79,'API - io'!$A:$G,7,0)),"-")</f>
        <v>-</v>
      </c>
    </row>
    <row r="80" spans="1:10" x14ac:dyDescent="0.3">
      <c r="A80" s="21"/>
      <c r="B80" s="21" t="str">
        <f>IFERROR((VLOOKUP(Table1[[#This Row],[data__id]],'API - io'!$A:$H,3,0)),"-")</f>
        <v>-</v>
      </c>
      <c r="C80" s="21"/>
      <c r="D80" s="21"/>
      <c r="E80" s="19" t="str">
        <f>IFERROR((VLOOKUP(Table1[[#This Row],[data__id]],'API - io'!$A:$H,5,0)),"-")</f>
        <v>-</v>
      </c>
      <c r="F80" s="19" t="str">
        <f>IFERROR((VLOOKUP(Table1[[#This Row],[data__id]],'API - io'!$A:$H,3,0)),"-")</f>
        <v>-</v>
      </c>
      <c r="G80" s="19" t="str">
        <f>IFERROR((VLOOKUP(A80,'API - io'!$A:$G,4,0)),"-")</f>
        <v>-</v>
      </c>
      <c r="H80" s="19" t="str">
        <f>IFERROR((VLOOKUP(A80,'API - io'!$A:$G,5,0)),"-")</f>
        <v>-</v>
      </c>
      <c r="I80" s="20" t="str">
        <f>IFERROR((VLOOKUP(A80,'API - io'!$A:$G,6,0)),"-")</f>
        <v>-</v>
      </c>
      <c r="J80" s="19" t="str">
        <f>IFERROR((VLOOKUP(A80,'API - io'!$A:$G,7,0)),"-")</f>
        <v>-</v>
      </c>
    </row>
    <row r="81" spans="1:10" x14ac:dyDescent="0.3">
      <c r="A81" s="21"/>
      <c r="B81" s="21" t="str">
        <f>IFERROR((VLOOKUP(Table1[[#This Row],[data__id]],'API - io'!$A:$H,3,0)),"-")</f>
        <v>-</v>
      </c>
      <c r="C81" s="21"/>
      <c r="D81" s="21"/>
      <c r="E81" s="19" t="str">
        <f>IFERROR((VLOOKUP(Table1[[#This Row],[data__id]],'API - io'!$A:$H,5,0)),"-")</f>
        <v>-</v>
      </c>
      <c r="F81" s="19" t="str">
        <f>IFERROR((VLOOKUP(Table1[[#This Row],[data__id]],'API - io'!$A:$H,3,0)),"-")</f>
        <v>-</v>
      </c>
      <c r="G81" s="19" t="str">
        <f>IFERROR((VLOOKUP(A81,'API - io'!$A:$G,4,0)),"-")</f>
        <v>-</v>
      </c>
      <c r="H81" s="19" t="str">
        <f>IFERROR((VLOOKUP(A81,'API - io'!$A:$G,5,0)),"-")</f>
        <v>-</v>
      </c>
      <c r="I81" s="20" t="str">
        <f>IFERROR((VLOOKUP(A81,'API - io'!$A:$G,6,0)),"-")</f>
        <v>-</v>
      </c>
      <c r="J81" s="19" t="str">
        <f>IFERROR((VLOOKUP(A81,'API - io'!$A:$G,7,0)),"-")</f>
        <v>-</v>
      </c>
    </row>
    <row r="82" spans="1:10" x14ac:dyDescent="0.3">
      <c r="A82" s="21"/>
      <c r="B82" s="21" t="str">
        <f>IFERROR((VLOOKUP(Table1[[#This Row],[data__id]],'API - io'!$A:$H,3,0)),"-")</f>
        <v>-</v>
      </c>
      <c r="C82" s="21"/>
      <c r="D82" s="21"/>
      <c r="E82" s="19" t="str">
        <f>IFERROR((VLOOKUP(Table1[[#This Row],[data__id]],'API - io'!$A:$H,5,0)),"-")</f>
        <v>-</v>
      </c>
      <c r="F82" s="19" t="str">
        <f>IFERROR((VLOOKUP(Table1[[#This Row],[data__id]],'API - io'!$A:$H,3,0)),"-")</f>
        <v>-</v>
      </c>
      <c r="G82" s="19" t="str">
        <f>IFERROR((VLOOKUP(A82,'API - io'!$A:$G,4,0)),"-")</f>
        <v>-</v>
      </c>
      <c r="H82" s="19" t="str">
        <f>IFERROR((VLOOKUP(A82,'API - io'!$A:$G,5,0)),"-")</f>
        <v>-</v>
      </c>
      <c r="I82" s="20" t="str">
        <f>IFERROR((VLOOKUP(A82,'API - io'!$A:$G,6,0)),"-")</f>
        <v>-</v>
      </c>
      <c r="J82" s="19" t="str">
        <f>IFERROR((VLOOKUP(A82,'API - io'!$A:$G,7,0)),"-")</f>
        <v>-</v>
      </c>
    </row>
    <row r="83" spans="1:10" x14ac:dyDescent="0.3">
      <c r="A83" s="21"/>
      <c r="B83" s="21" t="str">
        <f>IFERROR((VLOOKUP(Table1[[#This Row],[data__id]],'API - io'!$A:$H,3,0)),"-")</f>
        <v>-</v>
      </c>
      <c r="C83" s="21"/>
      <c r="D83" s="21"/>
      <c r="E83" s="19" t="str">
        <f>IFERROR((VLOOKUP(Table1[[#This Row],[data__id]],'API - io'!$A:$H,5,0)),"-")</f>
        <v>-</v>
      </c>
      <c r="F83" s="19" t="str">
        <f>IFERROR((VLOOKUP(Table1[[#This Row],[data__id]],'API - io'!$A:$H,3,0)),"-")</f>
        <v>-</v>
      </c>
      <c r="G83" s="19" t="str">
        <f>IFERROR((VLOOKUP(A83,'API - io'!$A:$G,4,0)),"-")</f>
        <v>-</v>
      </c>
      <c r="H83" s="19" t="str">
        <f>IFERROR((VLOOKUP(A83,'API - io'!$A:$G,5,0)),"-")</f>
        <v>-</v>
      </c>
      <c r="I83" s="20" t="str">
        <f>IFERROR((VLOOKUP(A83,'API - io'!$A:$G,6,0)),"-")</f>
        <v>-</v>
      </c>
      <c r="J83" s="19" t="str">
        <f>IFERROR((VLOOKUP(A83,'API - io'!$A:$G,7,0)),"-")</f>
        <v>-</v>
      </c>
    </row>
    <row r="84" spans="1:10" x14ac:dyDescent="0.3">
      <c r="A84" s="21"/>
      <c r="B84" s="21" t="str">
        <f>IFERROR((VLOOKUP(Table1[[#This Row],[data__id]],'API - io'!$A:$H,3,0)),"-")</f>
        <v>-</v>
      </c>
      <c r="C84" s="21"/>
      <c r="D84" s="21"/>
      <c r="E84" s="19" t="str">
        <f>IFERROR((VLOOKUP(Table1[[#This Row],[data__id]],'API - io'!$A:$H,5,0)),"-")</f>
        <v>-</v>
      </c>
      <c r="F84" s="19" t="str">
        <f>IFERROR((VLOOKUP(Table1[[#This Row],[data__id]],'API - io'!$A:$H,3,0)),"-")</f>
        <v>-</v>
      </c>
      <c r="G84" s="19" t="str">
        <f>IFERROR((VLOOKUP(A84,'API - io'!$A:$G,4,0)),"-")</f>
        <v>-</v>
      </c>
      <c r="H84" s="19" t="str">
        <f>IFERROR((VLOOKUP(A84,'API - io'!$A:$G,5,0)),"-")</f>
        <v>-</v>
      </c>
      <c r="I84" s="20" t="str">
        <f>IFERROR((VLOOKUP(A84,'API - io'!$A:$G,6,0)),"-")</f>
        <v>-</v>
      </c>
      <c r="J84" s="19" t="str">
        <f>IFERROR((VLOOKUP(A84,'API - io'!$A:$G,7,0)),"-")</f>
        <v>-</v>
      </c>
    </row>
    <row r="85" spans="1:10" x14ac:dyDescent="0.3">
      <c r="A85" s="21"/>
      <c r="B85" s="21" t="str">
        <f>IFERROR((VLOOKUP(Table1[[#This Row],[data__id]],'API - io'!$A:$H,3,0)),"-")</f>
        <v>-</v>
      </c>
      <c r="C85" s="21"/>
      <c r="D85" s="21"/>
      <c r="E85" s="19" t="str">
        <f>IFERROR((VLOOKUP(Table1[[#This Row],[data__id]],'API - io'!$A:$H,5,0)),"-")</f>
        <v>-</v>
      </c>
      <c r="F85" s="19" t="str">
        <f>IFERROR((VLOOKUP(Table1[[#This Row],[data__id]],'API - io'!$A:$H,3,0)),"-")</f>
        <v>-</v>
      </c>
      <c r="G85" s="19" t="str">
        <f>IFERROR((VLOOKUP(A85,'API - io'!$A:$G,4,0)),"-")</f>
        <v>-</v>
      </c>
      <c r="H85" s="19" t="str">
        <f>IFERROR((VLOOKUP(A85,'API - io'!$A:$G,5,0)),"-")</f>
        <v>-</v>
      </c>
      <c r="I85" s="20" t="str">
        <f>IFERROR((VLOOKUP(A85,'API - io'!$A:$G,6,0)),"-")</f>
        <v>-</v>
      </c>
      <c r="J85" s="19" t="str">
        <f>IFERROR((VLOOKUP(A85,'API - io'!$A:$G,7,0)),"-")</f>
        <v>-</v>
      </c>
    </row>
    <row r="86" spans="1:10" x14ac:dyDescent="0.3">
      <c r="A86" s="21"/>
      <c r="B86" s="21" t="str">
        <f>IFERROR((VLOOKUP(Table1[[#This Row],[data__id]],'API - io'!$A:$H,3,0)),"-")</f>
        <v>-</v>
      </c>
      <c r="C86" s="21"/>
      <c r="D86" s="21"/>
      <c r="E86" s="19" t="str">
        <f>IFERROR((VLOOKUP(Table1[[#This Row],[data__id]],'API - io'!$A:$H,5,0)),"-")</f>
        <v>-</v>
      </c>
      <c r="F86" s="19" t="str">
        <f>IFERROR((VLOOKUP(Table1[[#This Row],[data__id]],'API - io'!$A:$H,3,0)),"-")</f>
        <v>-</v>
      </c>
      <c r="G86" s="19" t="str">
        <f>IFERROR((VLOOKUP(A86,'API - io'!$A:$G,4,0)),"-")</f>
        <v>-</v>
      </c>
      <c r="H86" s="19" t="str">
        <f>IFERROR((VLOOKUP(A86,'API - io'!$A:$G,5,0)),"-")</f>
        <v>-</v>
      </c>
      <c r="I86" s="20" t="str">
        <f>IFERROR((VLOOKUP(A86,'API - io'!$A:$G,6,0)),"-")</f>
        <v>-</v>
      </c>
      <c r="J86" s="19" t="str">
        <f>IFERROR((VLOOKUP(A86,'API - io'!$A:$G,7,0)),"-")</f>
        <v>-</v>
      </c>
    </row>
    <row r="87" spans="1:10" x14ac:dyDescent="0.3">
      <c r="A87" s="21"/>
      <c r="B87" s="21" t="str">
        <f>IFERROR((VLOOKUP(Table1[[#This Row],[data__id]],'API - io'!$A:$H,3,0)),"-")</f>
        <v>-</v>
      </c>
      <c r="C87" s="21"/>
      <c r="D87" s="21"/>
      <c r="E87" s="19" t="str">
        <f>IFERROR((VLOOKUP(Table1[[#This Row],[data__id]],'API - io'!$A:$H,5,0)),"-")</f>
        <v>-</v>
      </c>
      <c r="F87" s="19" t="str">
        <f>IFERROR((VLOOKUP(Table1[[#This Row],[data__id]],'API - io'!$A:$H,3,0)),"-")</f>
        <v>-</v>
      </c>
      <c r="G87" s="19" t="str">
        <f>IFERROR((VLOOKUP(A87,'API - io'!$A:$G,4,0)),"-")</f>
        <v>-</v>
      </c>
      <c r="H87" s="19" t="str">
        <f>IFERROR((VLOOKUP(A87,'API - io'!$A:$G,5,0)),"-")</f>
        <v>-</v>
      </c>
      <c r="I87" s="20" t="str">
        <f>IFERROR((VLOOKUP(A87,'API - io'!$A:$G,6,0)),"-")</f>
        <v>-</v>
      </c>
      <c r="J87" s="19" t="str">
        <f>IFERROR((VLOOKUP(A87,'API - io'!$A:$G,7,0)),"-")</f>
        <v>-</v>
      </c>
    </row>
    <row r="88" spans="1:10" x14ac:dyDescent="0.3">
      <c r="A88" s="21"/>
      <c r="B88" s="21" t="str">
        <f>IFERROR((VLOOKUP(Table1[[#This Row],[data__id]],'API - io'!$A:$H,3,0)),"-")</f>
        <v>-</v>
      </c>
      <c r="C88" s="21"/>
      <c r="D88" s="21"/>
      <c r="E88" s="19" t="str">
        <f>IFERROR((VLOOKUP(Table1[[#This Row],[data__id]],'API - io'!$A:$H,5,0)),"-")</f>
        <v>-</v>
      </c>
      <c r="F88" s="19" t="str">
        <f>IFERROR((VLOOKUP(Table1[[#This Row],[data__id]],'API - io'!$A:$H,3,0)),"-")</f>
        <v>-</v>
      </c>
      <c r="G88" s="19" t="str">
        <f>IFERROR((VLOOKUP(A88,'API - io'!$A:$G,4,0)),"-")</f>
        <v>-</v>
      </c>
      <c r="H88" s="19" t="str">
        <f>IFERROR((VLOOKUP(A88,'API - io'!$A:$G,5,0)),"-")</f>
        <v>-</v>
      </c>
      <c r="I88" s="20" t="str">
        <f>IFERROR((VLOOKUP(A88,'API - io'!$A:$G,6,0)),"-")</f>
        <v>-</v>
      </c>
      <c r="J88" s="19" t="str">
        <f>IFERROR((VLOOKUP(A88,'API - io'!$A:$G,7,0)),"-")</f>
        <v>-</v>
      </c>
    </row>
    <row r="89" spans="1:10" x14ac:dyDescent="0.3">
      <c r="A89" s="21"/>
      <c r="B89" s="21" t="str">
        <f>IFERROR((VLOOKUP(Table1[[#This Row],[data__id]],'API - io'!$A:$H,3,0)),"-")</f>
        <v>-</v>
      </c>
      <c r="C89" s="21"/>
      <c r="D89" s="21"/>
      <c r="E89" s="19" t="str">
        <f>IFERROR((VLOOKUP(Table1[[#This Row],[data__id]],'API - io'!$A:$H,5,0)),"-")</f>
        <v>-</v>
      </c>
      <c r="F89" s="19" t="str">
        <f>IFERROR((VLOOKUP(Table1[[#This Row],[data__id]],'API - io'!$A:$H,3,0)),"-")</f>
        <v>-</v>
      </c>
      <c r="G89" s="19" t="str">
        <f>IFERROR((VLOOKUP(A89,'API - io'!$A:$G,4,0)),"-")</f>
        <v>-</v>
      </c>
      <c r="H89" s="19" t="str">
        <f>IFERROR((VLOOKUP(A89,'API - io'!$A:$G,5,0)),"-")</f>
        <v>-</v>
      </c>
      <c r="I89" s="20" t="str">
        <f>IFERROR((VLOOKUP(A89,'API - io'!$A:$G,6,0)),"-")</f>
        <v>-</v>
      </c>
      <c r="J89" s="19" t="str">
        <f>IFERROR((VLOOKUP(A89,'API - io'!$A:$G,7,0)),"-")</f>
        <v>-</v>
      </c>
    </row>
    <row r="90" spans="1:10" x14ac:dyDescent="0.3">
      <c r="A90" s="21"/>
      <c r="B90" s="21" t="str">
        <f>IFERROR((VLOOKUP(Table1[[#This Row],[data__id]],'API - io'!$A:$H,3,0)),"-")</f>
        <v>-</v>
      </c>
      <c r="C90" s="21"/>
      <c r="D90" s="21"/>
      <c r="E90" s="19" t="str">
        <f>IFERROR((VLOOKUP(Table1[[#This Row],[data__id]],'API - io'!$A:$H,5,0)),"-")</f>
        <v>-</v>
      </c>
      <c r="F90" s="19" t="str">
        <f>IFERROR((VLOOKUP(Table1[[#This Row],[data__id]],'API - io'!$A:$H,3,0)),"-")</f>
        <v>-</v>
      </c>
      <c r="G90" s="19" t="str">
        <f>IFERROR((VLOOKUP(A90,'API - io'!$A:$G,4,0)),"-")</f>
        <v>-</v>
      </c>
      <c r="H90" s="19" t="str">
        <f>IFERROR((VLOOKUP(A90,'API - io'!$A:$G,5,0)),"-")</f>
        <v>-</v>
      </c>
      <c r="I90" s="20" t="str">
        <f>IFERROR((VLOOKUP(A90,'API - io'!$A:$G,6,0)),"-")</f>
        <v>-</v>
      </c>
      <c r="J90" s="19" t="str">
        <f>IFERROR((VLOOKUP(A90,'API - io'!$A:$G,7,0)),"-")</f>
        <v>-</v>
      </c>
    </row>
    <row r="91" spans="1:10" x14ac:dyDescent="0.3">
      <c r="A91" s="21"/>
      <c r="B91" s="21" t="str">
        <f>IFERROR((VLOOKUP(Table1[[#This Row],[data__id]],'API - io'!$A:$H,3,0)),"-")</f>
        <v>-</v>
      </c>
      <c r="C91" s="21"/>
      <c r="D91" s="21"/>
      <c r="E91" s="19" t="str">
        <f>IFERROR((VLOOKUP(Table1[[#This Row],[data__id]],'API - io'!$A:$H,5,0)),"-")</f>
        <v>-</v>
      </c>
      <c r="F91" s="19" t="str">
        <f>IFERROR((VLOOKUP(Table1[[#This Row],[data__id]],'API - io'!$A:$H,3,0)),"-")</f>
        <v>-</v>
      </c>
      <c r="G91" s="19" t="str">
        <f>IFERROR((VLOOKUP(A91,'API - io'!$A:$G,4,0)),"-")</f>
        <v>-</v>
      </c>
      <c r="H91" s="19" t="str">
        <f>IFERROR((VLOOKUP(A91,'API - io'!$A:$G,5,0)),"-")</f>
        <v>-</v>
      </c>
      <c r="I91" s="20" t="str">
        <f>IFERROR((VLOOKUP(A91,'API - io'!$A:$G,6,0)),"-")</f>
        <v>-</v>
      </c>
      <c r="J91" s="19" t="str">
        <f>IFERROR((VLOOKUP(A91,'API - io'!$A:$G,7,0)),"-")</f>
        <v>-</v>
      </c>
    </row>
    <row r="92" spans="1:10" x14ac:dyDescent="0.3">
      <c r="A92" s="21"/>
      <c r="B92" s="21" t="str">
        <f>IFERROR((VLOOKUP(Table1[[#This Row],[data__id]],'API - io'!$A:$H,3,0)),"-")</f>
        <v>-</v>
      </c>
      <c r="C92" s="21"/>
      <c r="D92" s="21"/>
      <c r="E92" s="19" t="str">
        <f>IFERROR((VLOOKUP(Table1[[#This Row],[data__id]],'API - io'!$A:$H,5,0)),"-")</f>
        <v>-</v>
      </c>
      <c r="F92" s="19" t="str">
        <f>IFERROR((VLOOKUP(Table1[[#This Row],[data__id]],'API - io'!$A:$H,3,0)),"-")</f>
        <v>-</v>
      </c>
      <c r="G92" s="19" t="str">
        <f>IFERROR((VLOOKUP(A92,'API - io'!$A:$G,4,0)),"-")</f>
        <v>-</v>
      </c>
      <c r="H92" s="19" t="str">
        <f>IFERROR((VLOOKUP(A92,'API - io'!$A:$G,5,0)),"-")</f>
        <v>-</v>
      </c>
      <c r="I92" s="20" t="str">
        <f>IFERROR((VLOOKUP(A92,'API - io'!$A:$G,6,0)),"-")</f>
        <v>-</v>
      </c>
      <c r="J92" s="19" t="str">
        <f>IFERROR((VLOOKUP(A92,'API - io'!$A:$G,7,0)),"-")</f>
        <v>-</v>
      </c>
    </row>
    <row r="93" spans="1:10" x14ac:dyDescent="0.3">
      <c r="A93" s="21"/>
      <c r="B93" s="21" t="str">
        <f>IFERROR((VLOOKUP(Table1[[#This Row],[data__id]],'API - io'!$A:$H,3,0)),"-")</f>
        <v>-</v>
      </c>
      <c r="C93" s="21"/>
      <c r="D93" s="21"/>
      <c r="E93" s="19" t="str">
        <f>IFERROR((VLOOKUP(Table1[[#This Row],[data__id]],'API - io'!$A:$H,5,0)),"-")</f>
        <v>-</v>
      </c>
      <c r="F93" s="19" t="str">
        <f>IFERROR((VLOOKUP(Table1[[#This Row],[data__id]],'API - io'!$A:$H,3,0)),"-")</f>
        <v>-</v>
      </c>
      <c r="G93" s="19" t="str">
        <f>IFERROR((VLOOKUP(A93,'API - io'!$A:$G,4,0)),"-")</f>
        <v>-</v>
      </c>
      <c r="H93" s="19" t="str">
        <f>IFERROR((VLOOKUP(A93,'API - io'!$A:$G,5,0)),"-")</f>
        <v>-</v>
      </c>
      <c r="I93" s="20" t="str">
        <f>IFERROR((VLOOKUP(A93,'API - io'!$A:$G,6,0)),"-")</f>
        <v>-</v>
      </c>
      <c r="J93" s="19" t="str">
        <f>IFERROR((VLOOKUP(A93,'API - io'!$A:$G,7,0)),"-")</f>
        <v>-</v>
      </c>
    </row>
    <row r="94" spans="1:10" x14ac:dyDescent="0.3">
      <c r="A94" s="21"/>
      <c r="B94" s="21" t="str">
        <f>IFERROR((VLOOKUP(Table1[[#This Row],[data__id]],'API - io'!$A:$H,3,0)),"-")</f>
        <v>-</v>
      </c>
      <c r="C94" s="21"/>
      <c r="D94" s="21"/>
      <c r="E94" s="19" t="str">
        <f>IFERROR((VLOOKUP(Table1[[#This Row],[data__id]],'API - io'!$A:$H,5,0)),"-")</f>
        <v>-</v>
      </c>
      <c r="F94" s="19" t="str">
        <f>IFERROR((VLOOKUP(Table1[[#This Row],[data__id]],'API - io'!$A:$H,3,0)),"-")</f>
        <v>-</v>
      </c>
      <c r="G94" s="19" t="str">
        <f>IFERROR((VLOOKUP(A94,'API - io'!$A:$G,4,0)),"-")</f>
        <v>-</v>
      </c>
      <c r="H94" s="19" t="str">
        <f>IFERROR((VLOOKUP(A94,'API - io'!$A:$G,5,0)),"-")</f>
        <v>-</v>
      </c>
      <c r="I94" s="20" t="str">
        <f>IFERROR((VLOOKUP(A94,'API - io'!$A:$G,6,0)),"-")</f>
        <v>-</v>
      </c>
      <c r="J94" s="19" t="str">
        <f>IFERROR((VLOOKUP(A94,'API - io'!$A:$G,7,0)),"-")</f>
        <v>-</v>
      </c>
    </row>
    <row r="95" spans="1:10" x14ac:dyDescent="0.3">
      <c r="A95" s="21"/>
      <c r="B95" s="21" t="str">
        <f>IFERROR((VLOOKUP(Table1[[#This Row],[data__id]],'API - io'!$A:$H,3,0)),"-")</f>
        <v>-</v>
      </c>
      <c r="C95" s="21"/>
      <c r="D95" s="21"/>
      <c r="E95" s="19" t="str">
        <f>IFERROR((VLOOKUP(Table1[[#This Row],[data__id]],'API - io'!$A:$H,5,0)),"-")</f>
        <v>-</v>
      </c>
      <c r="F95" s="19" t="str">
        <f>IFERROR((VLOOKUP(Table1[[#This Row],[data__id]],'API - io'!$A:$H,3,0)),"-")</f>
        <v>-</v>
      </c>
      <c r="G95" s="19" t="str">
        <f>IFERROR((VLOOKUP(A95,'API - io'!$A:$G,4,0)),"-")</f>
        <v>-</v>
      </c>
      <c r="H95" s="19" t="str">
        <f>IFERROR((VLOOKUP(A95,'API - io'!$A:$G,5,0)),"-")</f>
        <v>-</v>
      </c>
      <c r="I95" s="20" t="str">
        <f>IFERROR((VLOOKUP(A95,'API - io'!$A:$G,6,0)),"-")</f>
        <v>-</v>
      </c>
      <c r="J95" s="19" t="str">
        <f>IFERROR((VLOOKUP(A95,'API - io'!$A:$G,7,0)),"-")</f>
        <v>-</v>
      </c>
    </row>
    <row r="96" spans="1:10" x14ac:dyDescent="0.3">
      <c r="A96" s="21"/>
      <c r="B96" s="21" t="str">
        <f>IFERROR((VLOOKUP(Table1[[#This Row],[data__id]],'API - io'!$A:$H,3,0)),"-")</f>
        <v>-</v>
      </c>
      <c r="C96" s="21"/>
      <c r="D96" s="21"/>
      <c r="E96" s="19" t="str">
        <f>IFERROR((VLOOKUP(Table1[[#This Row],[data__id]],'API - io'!$A:$H,5,0)),"-")</f>
        <v>-</v>
      </c>
      <c r="F96" s="19" t="str">
        <f>IFERROR((VLOOKUP(Table1[[#This Row],[data__id]],'API - io'!$A:$H,3,0)),"-")</f>
        <v>-</v>
      </c>
      <c r="G96" s="19" t="str">
        <f>IFERROR((VLOOKUP(A96,'API - io'!$A:$G,4,0)),"-")</f>
        <v>-</v>
      </c>
      <c r="H96" s="19" t="str">
        <f>IFERROR((VLOOKUP(A96,'API - io'!$A:$G,5,0)),"-")</f>
        <v>-</v>
      </c>
      <c r="I96" s="20" t="str">
        <f>IFERROR((VLOOKUP(A96,'API - io'!$A:$G,6,0)),"-")</f>
        <v>-</v>
      </c>
      <c r="J96" s="19" t="str">
        <f>IFERROR((VLOOKUP(A96,'API - io'!$A:$G,7,0)),"-")</f>
        <v>-</v>
      </c>
    </row>
    <row r="97" spans="1:10" x14ac:dyDescent="0.3">
      <c r="A97" s="21"/>
      <c r="B97" s="21" t="str">
        <f>IFERROR((VLOOKUP(Table1[[#This Row],[data__id]],'API - io'!$A:$H,3,0)),"-")</f>
        <v>-</v>
      </c>
      <c r="C97" s="21"/>
      <c r="D97" s="21"/>
      <c r="E97" s="19" t="str">
        <f>IFERROR((VLOOKUP(Table1[[#This Row],[data__id]],'API - io'!$A:$H,5,0)),"-")</f>
        <v>-</v>
      </c>
      <c r="F97" s="19" t="str">
        <f>IFERROR((VLOOKUP(Table1[[#This Row],[data__id]],'API - io'!$A:$H,3,0)),"-")</f>
        <v>-</v>
      </c>
      <c r="G97" s="19" t="str">
        <f>IFERROR((VLOOKUP(A97,'API - io'!$A:$G,4,0)),"-")</f>
        <v>-</v>
      </c>
      <c r="H97" s="19" t="str">
        <f>IFERROR((VLOOKUP(A97,'API - io'!$A:$G,5,0)),"-")</f>
        <v>-</v>
      </c>
      <c r="I97" s="20" t="str">
        <f>IFERROR((VLOOKUP(A97,'API - io'!$A:$G,6,0)),"-")</f>
        <v>-</v>
      </c>
      <c r="J97" s="19" t="str">
        <f>IFERROR((VLOOKUP(A97,'API - io'!$A:$G,7,0)),"-")</f>
        <v>-</v>
      </c>
    </row>
    <row r="98" spans="1:10" x14ac:dyDescent="0.3">
      <c r="A98" s="21"/>
      <c r="B98" s="21" t="str">
        <f>IFERROR((VLOOKUP(Table1[[#This Row],[data__id]],'API - io'!$A:$H,3,0)),"-")</f>
        <v>-</v>
      </c>
      <c r="C98" s="21"/>
      <c r="D98" s="21"/>
      <c r="E98" s="19" t="str">
        <f>IFERROR((VLOOKUP(Table1[[#This Row],[data__id]],'API - io'!$A:$H,5,0)),"-")</f>
        <v>-</v>
      </c>
      <c r="F98" s="19" t="str">
        <f>IFERROR((VLOOKUP(Table1[[#This Row],[data__id]],'API - io'!$A:$H,3,0)),"-")</f>
        <v>-</v>
      </c>
      <c r="G98" s="19" t="str">
        <f>IFERROR((VLOOKUP(A98,'API - io'!$A:$G,4,0)),"-")</f>
        <v>-</v>
      </c>
      <c r="H98" s="19" t="str">
        <f>IFERROR((VLOOKUP(A98,'API - io'!$A:$G,5,0)),"-")</f>
        <v>-</v>
      </c>
      <c r="I98" s="20" t="str">
        <f>IFERROR((VLOOKUP(A98,'API - io'!$A:$G,6,0)),"-")</f>
        <v>-</v>
      </c>
      <c r="J98" s="19" t="str">
        <f>IFERROR((VLOOKUP(A98,'API - io'!$A:$G,7,0)),"-")</f>
        <v>-</v>
      </c>
    </row>
    <row r="99" spans="1:10" x14ac:dyDescent="0.3">
      <c r="A99" s="21"/>
      <c r="B99" s="21" t="str">
        <f>IFERROR((VLOOKUP(Table1[[#This Row],[data__id]],'API - io'!$A:$H,3,0)),"-")</f>
        <v>-</v>
      </c>
      <c r="C99" s="21"/>
      <c r="D99" s="21"/>
      <c r="E99" s="19" t="str">
        <f>IFERROR((VLOOKUP(Table1[[#This Row],[data__id]],'API - io'!$A:$H,5,0)),"-")</f>
        <v>-</v>
      </c>
      <c r="F99" s="19" t="str">
        <f>IFERROR((VLOOKUP(Table1[[#This Row],[data__id]],'API - io'!$A:$H,3,0)),"-")</f>
        <v>-</v>
      </c>
      <c r="G99" s="19" t="str">
        <f>IFERROR((VLOOKUP(A99,'API - io'!$A:$G,4,0)),"-")</f>
        <v>-</v>
      </c>
      <c r="H99" s="19" t="str">
        <f>IFERROR((VLOOKUP(A99,'API - io'!$A:$G,5,0)),"-")</f>
        <v>-</v>
      </c>
      <c r="I99" s="20" t="str">
        <f>IFERROR((VLOOKUP(A99,'API - io'!$A:$G,6,0)),"-")</f>
        <v>-</v>
      </c>
      <c r="J99" s="19" t="str">
        <f>IFERROR((VLOOKUP(A99,'API - io'!$A:$G,7,0)),"-")</f>
        <v>-</v>
      </c>
    </row>
    <row r="100" spans="1:10" x14ac:dyDescent="0.3">
      <c r="A100" s="21"/>
      <c r="B100" s="21" t="str">
        <f>IFERROR((VLOOKUP(Table1[[#This Row],[data__id]],'API - io'!$A:$H,3,0)),"-")</f>
        <v>-</v>
      </c>
      <c r="C100" s="21"/>
      <c r="D100" s="21"/>
      <c r="E100" s="19" t="str">
        <f>IFERROR((VLOOKUP(Table1[[#This Row],[data__id]],'API - io'!$A:$H,5,0)),"-")</f>
        <v>-</v>
      </c>
      <c r="F100" s="19" t="str">
        <f>IFERROR((VLOOKUP(Table1[[#This Row],[data__id]],'API - io'!$A:$H,3,0)),"-")</f>
        <v>-</v>
      </c>
      <c r="G100" s="19" t="str">
        <f>IFERROR((VLOOKUP(A100,'API - io'!$A:$G,4,0)),"-")</f>
        <v>-</v>
      </c>
      <c r="H100" s="19" t="str">
        <f>IFERROR((VLOOKUP(A100,'API - io'!$A:$G,5,0)),"-")</f>
        <v>-</v>
      </c>
      <c r="I100" s="20" t="str">
        <f>IFERROR((VLOOKUP(A100,'API - io'!$A:$G,6,0)),"-")</f>
        <v>-</v>
      </c>
      <c r="J100" s="19" t="str">
        <f>IFERROR((VLOOKUP(A100,'API - io'!$A:$G,7,0)),"-")</f>
        <v>-</v>
      </c>
    </row>
    <row r="101" spans="1:10" x14ac:dyDescent="0.3">
      <c r="A101" s="21"/>
      <c r="B101" s="21" t="str">
        <f>IFERROR((VLOOKUP(Table1[[#This Row],[data__id]],'API - io'!$A:$H,3,0)),"-")</f>
        <v>-</v>
      </c>
      <c r="C101" s="21"/>
      <c r="D101" s="21"/>
      <c r="E101" s="19" t="str">
        <f>IFERROR((VLOOKUP(Table1[[#This Row],[data__id]],'API - io'!$A:$H,5,0)),"-")</f>
        <v>-</v>
      </c>
      <c r="F101" s="19" t="str">
        <f>IFERROR((VLOOKUP(Table1[[#This Row],[data__id]],'API - io'!$A:$H,3,0)),"-")</f>
        <v>-</v>
      </c>
      <c r="G101" s="19" t="str">
        <f>IFERROR((VLOOKUP(A101,'API - io'!$A:$G,4,0)),"-")</f>
        <v>-</v>
      </c>
      <c r="H101" s="19" t="str">
        <f>IFERROR((VLOOKUP(A101,'API - io'!$A:$G,5,0)),"-")</f>
        <v>-</v>
      </c>
      <c r="I101" s="20" t="str">
        <f>IFERROR((VLOOKUP(A101,'API - io'!$A:$G,6,0)),"-")</f>
        <v>-</v>
      </c>
      <c r="J101" s="19" t="str">
        <f>IFERROR((VLOOKUP(A101,'API - io'!$A:$G,7,0)),"-")</f>
        <v>-</v>
      </c>
    </row>
  </sheetData>
  <dataValidations count="1">
    <dataValidation type="custom" allowBlank="1" showDropDown="1" sqref="A7:D15 G2:G101" xr:uid="{A89C4704-896A-47DC-A7B5-29F469ADEA0A}">
      <formula1>AND(ISNUMBER(A2),(NOT(OR(NOT(ISERROR(DATEVALUE(A2))), AND(ISNUMBER(A2), LEFT(CELL("format", A2))="D")))))</formula1>
    </dataValidation>
  </dataValidations>
  <hyperlinks>
    <hyperlink ref="I7" r:id="rId1" display="https://cdn.vietqr.io/img/ABB.png" xr:uid="{5F752DEE-B49F-4390-ABF1-6BB2F79E5304}"/>
    <hyperlink ref="I8" r:id="rId2" display="https://cdn.vietqr.io/img/ABB.png" xr:uid="{5469E140-AFE5-46EC-9612-45B45C6161A9}"/>
    <hyperlink ref="I9" r:id="rId3" display="https://cdn.vietqr.io/img/ABB.png" xr:uid="{DE74E478-E6A1-4292-9E54-DAF048A34D02}"/>
    <hyperlink ref="I10" r:id="rId4" display="https://cdn.vietqr.io/img/ABB.png" xr:uid="{4487A71F-4709-4920-ACB1-91E07B9D18B8}"/>
    <hyperlink ref="I11" r:id="rId5" display="https://cdn.vietqr.io/img/ABB.png" xr:uid="{FFFA4705-F484-4B3E-93A1-A9E47BB54CB9}"/>
    <hyperlink ref="I12" r:id="rId6" display="https://cdn.vietqr.io/img/ABB.png" xr:uid="{88612F3B-E50E-4D82-B45F-A793DDF84A37}"/>
    <hyperlink ref="I13" r:id="rId7" display="https://cdn.vietqr.io/img/ABB.png" xr:uid="{CAE279EC-B962-42D3-9529-7851F75A61F8}"/>
    <hyperlink ref="I14" r:id="rId8" display="https://cdn.vietqr.io/img/ABB.png" xr:uid="{ADF08FAB-2C1D-440D-BBBD-83F01ADFD5AA}"/>
    <hyperlink ref="I15" r:id="rId9" display="https://cdn.vietqr.io/img/ABB.png" xr:uid="{DBF2AF88-58FD-4DBE-B8E9-75831EE171CD}"/>
    <hyperlink ref="I16" r:id="rId10" display="https://cdn.vietqr.io/img/ABB.png" xr:uid="{0C6E3BF0-AC54-4B80-90F8-33D9B305172B}"/>
    <hyperlink ref="I17" r:id="rId11" display="https://cdn.vietqr.io/img/ABB.png" xr:uid="{8F0CB904-1B5D-437D-BF55-F9F69DD30167}"/>
    <hyperlink ref="I18" r:id="rId12" display="https://cdn.vietqr.io/img/ABB.png" xr:uid="{C238411D-AA75-4757-8DB0-7FFF69DDFB8A}"/>
    <hyperlink ref="I19" r:id="rId13" display="https://cdn.vietqr.io/img/ABB.png" xr:uid="{2CF67AD9-AC37-4A2C-9F0C-B88919CE0F0B}"/>
    <hyperlink ref="I20" r:id="rId14" display="https://cdn.vietqr.io/img/ABB.png" xr:uid="{2365DA53-A1B6-4663-84F1-81578502F133}"/>
    <hyperlink ref="I21" r:id="rId15" display="https://cdn.vietqr.io/img/ABB.png" xr:uid="{27C7D044-2183-4716-89B4-C8035A5BDACD}"/>
    <hyperlink ref="I22" r:id="rId16" display="https://cdn.vietqr.io/img/ABB.png" xr:uid="{9E80976F-467A-4B3F-BCF7-5FEF9BF0C8AE}"/>
    <hyperlink ref="I23" r:id="rId17" display="https://cdn.vietqr.io/img/ABB.png" xr:uid="{AF8104DA-29E5-48F8-AFED-A25C0810F9F1}"/>
    <hyperlink ref="I24" r:id="rId18" display="https://cdn.vietqr.io/img/ABB.png" xr:uid="{B3E70961-470C-4C29-85A5-D74EDE38D151}"/>
    <hyperlink ref="I25" r:id="rId19" display="https://cdn.vietqr.io/img/ABB.png" xr:uid="{38E86826-A211-494A-B6B9-1B69DDA2EFF7}"/>
    <hyperlink ref="I26" r:id="rId20" display="https://cdn.vietqr.io/img/ABB.png" xr:uid="{1F20F8DA-CB16-474B-A4B9-E1DE8EF7B09B}"/>
    <hyperlink ref="I27" r:id="rId21" display="https://cdn.vietqr.io/img/ABB.png" xr:uid="{2FD70308-BDB7-4249-A039-5D067660BFD6}"/>
    <hyperlink ref="I28" r:id="rId22" display="https://cdn.vietqr.io/img/ABB.png" xr:uid="{EA7880BB-4407-4622-9350-159221423B3B}"/>
    <hyperlink ref="I29" r:id="rId23" display="https://cdn.vietqr.io/img/ABB.png" xr:uid="{DB53A627-9823-4A01-A33A-A9D5FE8B2AAC}"/>
    <hyperlink ref="I30" r:id="rId24" display="https://cdn.vietqr.io/img/ABB.png" xr:uid="{F0F55E47-3169-4DEA-8A5D-DAE098E7AA0E}"/>
    <hyperlink ref="I31" r:id="rId25" display="https://cdn.vietqr.io/img/ABB.png" xr:uid="{73A5B96C-ED9A-4AD1-9E59-E94722FC6C4A}"/>
    <hyperlink ref="I32" r:id="rId26" display="https://cdn.vietqr.io/img/ABB.png" xr:uid="{69FD3ECA-E6CA-451D-B9DC-3E388750B256}"/>
    <hyperlink ref="I33" r:id="rId27" display="https://cdn.vietqr.io/img/ABB.png" xr:uid="{334F12FE-5699-40ED-A7EF-B9FDF8878812}"/>
    <hyperlink ref="I34" r:id="rId28" display="https://cdn.vietqr.io/img/ABB.png" xr:uid="{696173DE-241C-4BEF-8A3A-85997AEEDB99}"/>
    <hyperlink ref="I35" r:id="rId29" display="https://cdn.vietqr.io/img/ABB.png" xr:uid="{55928F6D-FAA5-45BC-B738-422AD9F475DF}"/>
    <hyperlink ref="I36" r:id="rId30" display="https://cdn.vietqr.io/img/ABB.png" xr:uid="{A1DF03D6-97B6-4086-B93A-954D2A825E10}"/>
    <hyperlink ref="I37" r:id="rId31" display="https://cdn.vietqr.io/img/ABB.png" xr:uid="{4D5F3AF4-2725-43BD-AA9B-9523987533AC}"/>
    <hyperlink ref="I38" r:id="rId32" display="https://cdn.vietqr.io/img/ABB.png" xr:uid="{8A208B5A-1C1B-43DD-B2B2-FE5CBAD35495}"/>
    <hyperlink ref="I39" r:id="rId33" display="https://cdn.vietqr.io/img/ABB.png" xr:uid="{C529394C-3620-4427-A2BF-4292E38557FC}"/>
    <hyperlink ref="I40" r:id="rId34" display="https://cdn.vietqr.io/img/ABB.png" xr:uid="{BDDECC2B-E9AE-47C6-A23C-2DA7B59E7077}"/>
    <hyperlink ref="I41" r:id="rId35" display="https://cdn.vietqr.io/img/ABB.png" xr:uid="{FD5C0161-5CEB-4F94-82B3-E067DE66ED04}"/>
    <hyperlink ref="I42" r:id="rId36" display="https://cdn.vietqr.io/img/ABB.png" xr:uid="{143ECA98-C8BA-4897-B755-588898AC192E}"/>
    <hyperlink ref="I43" r:id="rId37" display="https://cdn.vietqr.io/img/ABB.png" xr:uid="{C8F88F95-8B05-4AB3-9866-9C70E9B2A4E4}"/>
    <hyperlink ref="I44" r:id="rId38" display="https://cdn.vietqr.io/img/ABB.png" xr:uid="{F124A78A-547A-48A0-B7F2-BCD018B97195}"/>
    <hyperlink ref="I45" r:id="rId39" display="https://cdn.vietqr.io/img/ABB.png" xr:uid="{62A5BAA4-50D8-4BF4-AE64-6D2CC7E9DE07}"/>
    <hyperlink ref="I46" r:id="rId40" display="https://cdn.vietqr.io/img/ABB.png" xr:uid="{84982593-6A7A-48C4-929C-73648C3B107A}"/>
    <hyperlink ref="I47" r:id="rId41" display="https://cdn.vietqr.io/img/ABB.png" xr:uid="{E607F40D-AB62-490A-9B14-A32A120E28A5}"/>
    <hyperlink ref="I48" r:id="rId42" display="https://cdn.vietqr.io/img/ABB.png" xr:uid="{71AFF0FF-4AFD-4274-9B0C-B518AE9D4FBB}"/>
    <hyperlink ref="I49" r:id="rId43" display="https://cdn.vietqr.io/img/ABB.png" xr:uid="{22943615-22F6-43D7-8D6B-D83D57A9668E}"/>
    <hyperlink ref="I50" r:id="rId44" display="https://cdn.vietqr.io/img/ABB.png" xr:uid="{513EACCF-D581-414C-9FE6-7D531B61A162}"/>
    <hyperlink ref="I51" r:id="rId45" display="https://cdn.vietqr.io/img/ABB.png" xr:uid="{4C6ECBB6-FF10-4B7E-9D81-A42EF84AA8E1}"/>
    <hyperlink ref="I52" r:id="rId46" display="https://cdn.vietqr.io/img/ABB.png" xr:uid="{A44F4C23-317F-411D-97DE-90D8A4FB33E9}"/>
    <hyperlink ref="I53" r:id="rId47" display="https://cdn.vietqr.io/img/ABB.png" xr:uid="{F680E46D-8C1F-4821-8B8A-DDB1C60E2649}"/>
    <hyperlink ref="I54" r:id="rId48" display="https://cdn.vietqr.io/img/ABB.png" xr:uid="{B47BF1C6-4B29-4841-BC81-7A9F9167CEA0}"/>
    <hyperlink ref="I55" r:id="rId49" display="https://cdn.vietqr.io/img/ABB.png" xr:uid="{F15A7166-2A15-4E22-976C-5C9DEEE00387}"/>
    <hyperlink ref="I56" r:id="rId50" display="https://cdn.vietqr.io/img/ABB.png" xr:uid="{03311C28-542E-4A06-8A69-E0753F94342C}"/>
    <hyperlink ref="I57" r:id="rId51" display="https://cdn.vietqr.io/img/ABB.png" xr:uid="{B89816E6-2DB1-4559-8390-72D5BB3EC59F}"/>
    <hyperlink ref="I58" r:id="rId52" display="https://cdn.vietqr.io/img/ABB.png" xr:uid="{5EF32F46-F67E-42FC-8F23-64E2DFC818BE}"/>
    <hyperlink ref="I59" r:id="rId53" display="https://cdn.vietqr.io/img/ABB.png" xr:uid="{47BD76DB-B7EE-4AA8-AE0A-70B28E660954}"/>
    <hyperlink ref="I60" r:id="rId54" display="https://cdn.vietqr.io/img/ABB.png" xr:uid="{CDC78262-2229-4847-B303-813B574F8EE5}"/>
    <hyperlink ref="I61" r:id="rId55" display="https://cdn.vietqr.io/img/ABB.png" xr:uid="{B5B97DFF-6CC1-4A69-A9FE-DD1C99DACF50}"/>
    <hyperlink ref="I62" r:id="rId56" display="https://cdn.vietqr.io/img/ABB.png" xr:uid="{B5E77F0A-3557-40D8-B8A3-577FACDE056B}"/>
    <hyperlink ref="I63" r:id="rId57" display="https://cdn.vietqr.io/img/ABB.png" xr:uid="{70FBCE56-656D-477A-83F4-0AFA04A808FC}"/>
    <hyperlink ref="I64" r:id="rId58" display="https://cdn.vietqr.io/img/ABB.png" xr:uid="{93731BA7-B2A0-4776-965E-17A7B1BAB201}"/>
    <hyperlink ref="I65" r:id="rId59" display="https://cdn.vietqr.io/img/ABB.png" xr:uid="{C410A9FA-539C-4E83-B463-FA90104A0A39}"/>
    <hyperlink ref="I66" r:id="rId60" display="https://cdn.vietqr.io/img/ABB.png" xr:uid="{610F377F-834E-4CF4-8B3C-F0A4DC0498C2}"/>
    <hyperlink ref="I67" r:id="rId61" display="https://cdn.vietqr.io/img/ABB.png" xr:uid="{C14AED96-01F8-47A5-B7FE-D6B1A3B3EC3B}"/>
    <hyperlink ref="I68" r:id="rId62" display="https://cdn.vietqr.io/img/ABB.png" xr:uid="{8FABA8B0-3CD1-4546-95C2-BAF0FADE3597}"/>
    <hyperlink ref="I69" r:id="rId63" display="https://cdn.vietqr.io/img/ABB.png" xr:uid="{A74CDF5A-0BDB-43A0-976C-6361A1904602}"/>
    <hyperlink ref="I70" r:id="rId64" display="https://cdn.vietqr.io/img/ABB.png" xr:uid="{B1D3426F-0142-45CE-939B-8C055B9F229C}"/>
    <hyperlink ref="I71" r:id="rId65" display="https://cdn.vietqr.io/img/ABB.png" xr:uid="{E411C4D5-8F83-437F-8C4D-B86654CB559D}"/>
    <hyperlink ref="I72" r:id="rId66" display="https://cdn.vietqr.io/img/ABB.png" xr:uid="{0F119914-F3E1-4824-9792-A0A357F0C69B}"/>
    <hyperlink ref="I73" r:id="rId67" display="https://cdn.vietqr.io/img/ABB.png" xr:uid="{D32D0D21-2612-4845-8CAC-6D25352EF5D3}"/>
    <hyperlink ref="I74" r:id="rId68" display="https://cdn.vietqr.io/img/ABB.png" xr:uid="{CA051FA0-0A47-4B67-81A9-16F2D79D0081}"/>
    <hyperlink ref="I75" r:id="rId69" display="https://cdn.vietqr.io/img/ABB.png" xr:uid="{B7F56C90-456C-440F-BDFA-45F01F1AF565}"/>
    <hyperlink ref="I76" r:id="rId70" display="https://cdn.vietqr.io/img/ABB.png" xr:uid="{93C00ACA-C3D2-460C-B9DA-117BDA833187}"/>
    <hyperlink ref="I77" r:id="rId71" display="https://cdn.vietqr.io/img/ABB.png" xr:uid="{C8F3479D-3681-4B1E-BCE5-4E0133B2E36D}"/>
    <hyperlink ref="I78" r:id="rId72" display="https://cdn.vietqr.io/img/ABB.png" xr:uid="{DFEB60E2-96C4-4BA7-AF58-EF7581E3E37A}"/>
    <hyperlink ref="I79" r:id="rId73" display="https://cdn.vietqr.io/img/ABB.png" xr:uid="{5CF0FB32-CDC9-4C8D-89C7-A6FF4095C4F9}"/>
    <hyperlink ref="I80" r:id="rId74" display="https://cdn.vietqr.io/img/ABB.png" xr:uid="{3A85C454-9ABF-4536-A3BD-675C7034DE1C}"/>
    <hyperlink ref="I81" r:id="rId75" display="https://cdn.vietqr.io/img/ABB.png" xr:uid="{91B4B64E-1B8A-4483-A731-0EE302C8EEC7}"/>
    <hyperlink ref="I82" r:id="rId76" display="https://cdn.vietqr.io/img/ABB.png" xr:uid="{5B6B187F-6E1C-4D7D-A171-76E12F010408}"/>
    <hyperlink ref="I83" r:id="rId77" display="https://cdn.vietqr.io/img/ABB.png" xr:uid="{FAA64865-36F1-41F1-BB4D-5F9E691EF208}"/>
    <hyperlink ref="I84" r:id="rId78" display="https://cdn.vietqr.io/img/ABB.png" xr:uid="{C544D59B-4E38-447B-88DE-6C9AE6A8284F}"/>
    <hyperlink ref="I85" r:id="rId79" display="https://cdn.vietqr.io/img/ABB.png" xr:uid="{DC777E21-D4B6-4035-8E42-23DA33C9C087}"/>
    <hyperlink ref="I86" r:id="rId80" display="https://cdn.vietqr.io/img/ABB.png" xr:uid="{2A2E1A6D-86FE-4987-9AB4-54B7C971DFAA}"/>
    <hyperlink ref="I87" r:id="rId81" display="https://cdn.vietqr.io/img/ABB.png" xr:uid="{B827DB21-242B-410B-9591-CBE07C83FDFD}"/>
    <hyperlink ref="I88" r:id="rId82" display="https://cdn.vietqr.io/img/ABB.png" xr:uid="{F57C9182-5D3B-4E46-BC40-46A3D8E627D3}"/>
    <hyperlink ref="I89" r:id="rId83" display="https://cdn.vietqr.io/img/ABB.png" xr:uid="{2554A8C1-62DA-44DF-BC74-A27CE8F7BFBC}"/>
    <hyperlink ref="I90" r:id="rId84" display="https://cdn.vietqr.io/img/ABB.png" xr:uid="{D640E482-9F19-4D2A-B812-FBB54A9504A1}"/>
    <hyperlink ref="I91" r:id="rId85" display="https://cdn.vietqr.io/img/ABB.png" xr:uid="{C457E0D7-1278-44E9-932C-B24EF3343FC3}"/>
    <hyperlink ref="I92" r:id="rId86" display="https://cdn.vietqr.io/img/ABB.png" xr:uid="{696D2CB9-2D96-486D-9F75-7376DE1F0AEB}"/>
    <hyperlink ref="I93" r:id="rId87" display="https://cdn.vietqr.io/img/ABB.png" xr:uid="{383E64D0-D9EC-437F-A3B7-DA69FBA1E00E}"/>
    <hyperlink ref="I94" r:id="rId88" display="https://cdn.vietqr.io/img/ABB.png" xr:uid="{615FC7F9-F46E-45A6-BBA2-B72742CA4B41}"/>
    <hyperlink ref="I95" r:id="rId89" display="https://cdn.vietqr.io/img/ABB.png" xr:uid="{9838F64C-F593-4678-9DEC-7CCAF67151FA}"/>
    <hyperlink ref="I96" r:id="rId90" display="https://cdn.vietqr.io/img/ABB.png" xr:uid="{A596E95E-9814-454A-B1E7-DEF21E58E6CF}"/>
    <hyperlink ref="I97" r:id="rId91" display="https://cdn.vietqr.io/img/ABB.png" xr:uid="{A193D687-4899-45DD-88BB-7DBAA2A9C895}"/>
    <hyperlink ref="I98" r:id="rId92" display="https://cdn.vietqr.io/img/ABB.png" xr:uid="{C585F8E2-8893-49F5-BEC8-9ABD3B0B5208}"/>
    <hyperlink ref="I99" r:id="rId93" display="https://cdn.vietqr.io/img/ABB.png" xr:uid="{CD864CC2-420B-4384-B326-3C50D3018E3E}"/>
    <hyperlink ref="I100" r:id="rId94" display="https://cdn.vietqr.io/img/ABB.png" xr:uid="{C523094A-D799-4C05-BCB7-37B0F52ACFEB}"/>
    <hyperlink ref="I101" r:id="rId95" display="https://cdn.vietqr.io/img/ABB.png" xr:uid="{9B2544B7-2F90-4077-8BE4-351C81B91E6D}"/>
    <hyperlink ref="I2" r:id="rId96" display="https://cdn.vietqr.io/img/ABB.png" xr:uid="{B3BB877E-7AA1-4D5A-B804-775C32BFCBFB}"/>
    <hyperlink ref="I3" r:id="rId97" display="https://cdn.vietqr.io/img/ABB.png" xr:uid="{1DC533D2-9FA6-4B3A-BB10-D969F6B9CBF7}"/>
    <hyperlink ref="I4" r:id="rId98" display="https://cdn.vietqr.io/img/ABB.png" xr:uid="{DFA07BE1-56E8-444F-B982-7038C2ACD65A}"/>
    <hyperlink ref="I5" r:id="rId99" display="https://cdn.vietqr.io/img/ABB.png" xr:uid="{821702AF-8E85-4D48-BFBD-B11817203B03}"/>
    <hyperlink ref="I6" r:id="rId100" display="https://cdn.vietqr.io/img/ABB.png" xr:uid="{A054A60E-9915-4BFE-8D0B-3B480892BBEB}"/>
  </hyperlinks>
  <pageMargins left="0.7" right="0.7" top="0.75" bottom="0.75" header="0.3" footer="0.3"/>
  <tableParts count="1">
    <tablePart r:id="rId10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66"/>
  <sheetViews>
    <sheetView zoomScale="85" zoomScaleNormal="85" workbookViewId="0">
      <pane ySplit="1" topLeftCell="A29" activePane="bottomLeft" state="frozen"/>
      <selection pane="bottomLeft" activeCell="C39" sqref="C39"/>
    </sheetView>
  </sheetViews>
  <sheetFormatPr defaultColWidth="14.44140625" defaultRowHeight="15" customHeight="1" x14ac:dyDescent="0.3"/>
  <cols>
    <col min="1" max="1" width="17.44140625" customWidth="1"/>
    <col min="2" max="2" width="72" bestFit="1" customWidth="1"/>
    <col min="3" max="3" width="16.33203125" customWidth="1"/>
    <col min="4" max="4" width="18.5546875" customWidth="1"/>
    <col min="5" max="5" width="21.6640625" customWidth="1"/>
    <col min="6" max="6" width="34.33203125" customWidth="1"/>
    <col min="7" max="7" width="22.44140625" customWidth="1"/>
  </cols>
  <sheetData>
    <row r="1" spans="1:8" ht="22.5" customHeight="1" x14ac:dyDescent="0.3">
      <c r="A1" s="13" t="s">
        <v>3</v>
      </c>
      <c r="B1" s="13" t="s">
        <v>4</v>
      </c>
      <c r="C1" s="13" t="s">
        <v>158</v>
      </c>
      <c r="D1" s="13" t="s">
        <v>6</v>
      </c>
      <c r="E1" s="13" t="s">
        <v>5</v>
      </c>
      <c r="F1" s="13" t="s">
        <v>7</v>
      </c>
      <c r="G1" s="13" t="s">
        <v>8</v>
      </c>
      <c r="H1" t="s">
        <v>251</v>
      </c>
    </row>
    <row r="2" spans="1:8" ht="22.5" customHeight="1" x14ac:dyDescent="0.3">
      <c r="A2" s="14">
        <v>1</v>
      </c>
      <c r="B2" s="14" t="s">
        <v>159</v>
      </c>
      <c r="C2" s="14" t="s">
        <v>160</v>
      </c>
      <c r="D2" s="14">
        <v>970425</v>
      </c>
      <c r="E2" s="14" t="s">
        <v>10</v>
      </c>
      <c r="F2" s="15" t="s">
        <v>9</v>
      </c>
      <c r="G2" s="14" t="s">
        <v>10</v>
      </c>
      <c r="H2" t="s">
        <v>252</v>
      </c>
    </row>
    <row r="3" spans="1:8" ht="22.5" customHeight="1" x14ac:dyDescent="0.3">
      <c r="A3" s="14">
        <v>2</v>
      </c>
      <c r="B3" s="14" t="s">
        <v>11</v>
      </c>
      <c r="C3" s="14" t="s">
        <v>13</v>
      </c>
      <c r="D3" s="14">
        <v>970416</v>
      </c>
      <c r="E3" s="14" t="s">
        <v>13</v>
      </c>
      <c r="F3" s="15" t="s">
        <v>12</v>
      </c>
      <c r="G3" s="14" t="s">
        <v>13</v>
      </c>
      <c r="H3" t="s">
        <v>253</v>
      </c>
    </row>
    <row r="4" spans="1:8" ht="22.5" customHeight="1" x14ac:dyDescent="0.3">
      <c r="A4" s="14">
        <v>3</v>
      </c>
      <c r="B4" s="14" t="s">
        <v>14</v>
      </c>
      <c r="C4" s="14" t="s">
        <v>161</v>
      </c>
      <c r="D4" s="14">
        <v>970409</v>
      </c>
      <c r="E4" s="14" t="s">
        <v>16</v>
      </c>
      <c r="F4" s="15" t="s">
        <v>15</v>
      </c>
      <c r="G4" s="14" t="s">
        <v>16</v>
      </c>
      <c r="H4" t="s">
        <v>254</v>
      </c>
    </row>
    <row r="5" spans="1:8" ht="22.5" customHeight="1" x14ac:dyDescent="0.3">
      <c r="A5" s="14">
        <v>4</v>
      </c>
      <c r="B5" s="14" t="s">
        <v>17</v>
      </c>
      <c r="C5" s="14" t="s">
        <v>19</v>
      </c>
      <c r="D5" s="14">
        <v>970418</v>
      </c>
      <c r="E5" s="14" t="s">
        <v>19</v>
      </c>
      <c r="F5" s="15" t="s">
        <v>18</v>
      </c>
      <c r="G5" s="14" t="s">
        <v>19</v>
      </c>
      <c r="H5" t="s">
        <v>23</v>
      </c>
    </row>
    <row r="6" spans="1:8" ht="22.5" customHeight="1" x14ac:dyDescent="0.3">
      <c r="A6" s="14">
        <v>5</v>
      </c>
      <c r="B6" s="14" t="s">
        <v>20</v>
      </c>
      <c r="C6" s="14" t="s">
        <v>162</v>
      </c>
      <c r="D6" s="14">
        <v>970438</v>
      </c>
      <c r="E6" s="14" t="s">
        <v>22</v>
      </c>
      <c r="F6" s="15" t="s">
        <v>21</v>
      </c>
      <c r="G6" s="14" t="s">
        <v>22</v>
      </c>
      <c r="H6" s="24" t="s">
        <v>255</v>
      </c>
    </row>
    <row r="7" spans="1:8" ht="22.5" customHeight="1" x14ac:dyDescent="0.3">
      <c r="A7" s="14">
        <v>6</v>
      </c>
      <c r="B7" s="14" t="s">
        <v>24</v>
      </c>
      <c r="C7" s="14" t="s">
        <v>163</v>
      </c>
      <c r="D7" s="14">
        <v>970444</v>
      </c>
      <c r="E7" s="14" t="s">
        <v>26</v>
      </c>
      <c r="F7" s="15" t="s">
        <v>25</v>
      </c>
      <c r="G7" s="14" t="s">
        <v>26</v>
      </c>
    </row>
    <row r="8" spans="1:8" ht="22.5" customHeight="1" x14ac:dyDescent="0.3">
      <c r="A8" s="14">
        <v>7</v>
      </c>
      <c r="B8" s="14" t="s">
        <v>27</v>
      </c>
      <c r="C8" s="14" t="s">
        <v>29</v>
      </c>
      <c r="D8" s="14">
        <v>422589</v>
      </c>
      <c r="E8" s="14" t="s">
        <v>29</v>
      </c>
      <c r="F8" s="15" t="s">
        <v>28</v>
      </c>
      <c r="G8" s="14" t="s">
        <v>29</v>
      </c>
    </row>
    <row r="9" spans="1:8" ht="22.5" customHeight="1" x14ac:dyDescent="0.3">
      <c r="A9" s="14">
        <v>8</v>
      </c>
      <c r="B9" s="14" t="s">
        <v>164</v>
      </c>
      <c r="C9" s="14" t="s">
        <v>165</v>
      </c>
      <c r="D9" s="14">
        <v>796500</v>
      </c>
      <c r="E9" s="14" t="s">
        <v>166</v>
      </c>
      <c r="F9" s="15" t="s">
        <v>167</v>
      </c>
      <c r="G9" s="14" t="s">
        <v>166</v>
      </c>
    </row>
    <row r="10" spans="1:8" ht="22.5" customHeight="1" x14ac:dyDescent="0.3">
      <c r="A10" s="14">
        <v>9</v>
      </c>
      <c r="B10" s="14" t="s">
        <v>30</v>
      </c>
      <c r="C10" s="14" t="s">
        <v>32</v>
      </c>
      <c r="D10" s="14">
        <v>970406</v>
      </c>
      <c r="E10" s="14" t="s">
        <v>32</v>
      </c>
      <c r="F10" s="15" t="s">
        <v>31</v>
      </c>
      <c r="G10" s="14" t="s">
        <v>32</v>
      </c>
    </row>
    <row r="11" spans="1:8" ht="22.5" customHeight="1" x14ac:dyDescent="0.3">
      <c r="A11" s="14">
        <v>10</v>
      </c>
      <c r="B11" s="14" t="s">
        <v>168</v>
      </c>
      <c r="C11" s="14" t="s">
        <v>169</v>
      </c>
      <c r="D11" s="14">
        <v>970431</v>
      </c>
      <c r="E11" s="14" t="s">
        <v>170</v>
      </c>
      <c r="F11" s="15" t="s">
        <v>171</v>
      </c>
      <c r="G11" s="14" t="s">
        <v>170</v>
      </c>
    </row>
    <row r="12" spans="1:8" ht="22.5" customHeight="1" x14ac:dyDescent="0.3">
      <c r="A12" s="14">
        <v>11</v>
      </c>
      <c r="B12" s="14" t="s">
        <v>33</v>
      </c>
      <c r="C12" s="14" t="s">
        <v>172</v>
      </c>
      <c r="D12" s="14">
        <v>970408</v>
      </c>
      <c r="E12" s="14" t="s">
        <v>35</v>
      </c>
      <c r="F12" s="15" t="s">
        <v>34</v>
      </c>
      <c r="G12" s="14" t="s">
        <v>35</v>
      </c>
    </row>
    <row r="13" spans="1:8" ht="22.5" customHeight="1" x14ac:dyDescent="0.3">
      <c r="A13" s="14">
        <v>12</v>
      </c>
      <c r="B13" s="14" t="s">
        <v>36</v>
      </c>
      <c r="C13" s="14" t="s">
        <v>173</v>
      </c>
      <c r="D13" s="14">
        <v>970437</v>
      </c>
      <c r="E13" s="14" t="s">
        <v>38</v>
      </c>
      <c r="F13" s="15" t="s">
        <v>37</v>
      </c>
      <c r="G13" s="14" t="s">
        <v>38</v>
      </c>
    </row>
    <row r="14" spans="1:8" ht="22.5" customHeight="1" x14ac:dyDescent="0.3">
      <c r="A14" s="14">
        <v>13</v>
      </c>
      <c r="B14" s="14" t="s">
        <v>39</v>
      </c>
      <c r="C14" s="14" t="s">
        <v>174</v>
      </c>
      <c r="D14" s="14">
        <v>970442</v>
      </c>
      <c r="E14" s="14" t="s">
        <v>41</v>
      </c>
      <c r="F14" s="15" t="s">
        <v>40</v>
      </c>
      <c r="G14" s="14" t="s">
        <v>41</v>
      </c>
    </row>
    <row r="15" spans="1:8" ht="22.5" customHeight="1" x14ac:dyDescent="0.3">
      <c r="A15" s="14">
        <v>14</v>
      </c>
      <c r="B15" s="14" t="s">
        <v>42</v>
      </c>
      <c r="C15" s="14" t="s">
        <v>44</v>
      </c>
      <c r="D15" s="14">
        <v>458761</v>
      </c>
      <c r="E15" s="14" t="s">
        <v>44</v>
      </c>
      <c r="F15" s="15" t="s">
        <v>43</v>
      </c>
      <c r="G15" s="14" t="s">
        <v>44</v>
      </c>
    </row>
    <row r="16" spans="1:8" ht="22.5" customHeight="1" x14ac:dyDescent="0.3">
      <c r="A16" s="14">
        <v>15</v>
      </c>
      <c r="B16" s="14" t="s">
        <v>175</v>
      </c>
      <c r="C16" s="14" t="s">
        <v>176</v>
      </c>
      <c r="D16" s="14">
        <v>970455</v>
      </c>
      <c r="E16" s="14" t="s">
        <v>177</v>
      </c>
      <c r="F16" s="15" t="s">
        <v>178</v>
      </c>
      <c r="G16" s="14" t="s">
        <v>177</v>
      </c>
    </row>
    <row r="17" spans="1:7" ht="22.5" customHeight="1" x14ac:dyDescent="0.3">
      <c r="A17" s="14">
        <v>16</v>
      </c>
      <c r="B17" s="14" t="s">
        <v>179</v>
      </c>
      <c r="C17" s="14" t="s">
        <v>180</v>
      </c>
      <c r="D17" s="14">
        <v>970456</v>
      </c>
      <c r="E17" s="14" t="s">
        <v>181</v>
      </c>
      <c r="F17" s="15" t="s">
        <v>178</v>
      </c>
      <c r="G17" s="14" t="s">
        <v>181</v>
      </c>
    </row>
    <row r="18" spans="1:7" ht="22.5" customHeight="1" x14ac:dyDescent="0.3">
      <c r="A18" s="14">
        <v>17</v>
      </c>
      <c r="B18" s="14" t="s">
        <v>45</v>
      </c>
      <c r="C18" s="14" t="s">
        <v>182</v>
      </c>
      <c r="D18" s="14">
        <v>970415</v>
      </c>
      <c r="E18" s="14" t="s">
        <v>47</v>
      </c>
      <c r="F18" s="15" t="s">
        <v>46</v>
      </c>
      <c r="G18" s="14" t="s">
        <v>47</v>
      </c>
    </row>
    <row r="19" spans="1:7" ht="22.5" customHeight="1" x14ac:dyDescent="0.3">
      <c r="A19" s="14">
        <v>18</v>
      </c>
      <c r="B19" s="14" t="s">
        <v>183</v>
      </c>
      <c r="C19" s="14" t="s">
        <v>184</v>
      </c>
      <c r="D19" s="14">
        <v>970434</v>
      </c>
      <c r="E19" s="14" t="s">
        <v>185</v>
      </c>
      <c r="F19" s="15" t="s">
        <v>186</v>
      </c>
      <c r="G19" s="14" t="s">
        <v>185</v>
      </c>
    </row>
    <row r="20" spans="1:7" ht="22.5" customHeight="1" x14ac:dyDescent="0.3">
      <c r="A20" s="14">
        <v>19</v>
      </c>
      <c r="B20" s="14" t="s">
        <v>48</v>
      </c>
      <c r="C20" s="14" t="s">
        <v>187</v>
      </c>
      <c r="D20" s="14">
        <v>970452</v>
      </c>
      <c r="E20" s="14" t="s">
        <v>50</v>
      </c>
      <c r="F20" s="15" t="s">
        <v>49</v>
      </c>
      <c r="G20" s="14" t="s">
        <v>50</v>
      </c>
    </row>
    <row r="21" spans="1:7" ht="22.5" customHeight="1" x14ac:dyDescent="0.3">
      <c r="A21" s="14">
        <v>20</v>
      </c>
      <c r="B21" s="14" t="s">
        <v>188</v>
      </c>
      <c r="C21" s="14" t="s">
        <v>189</v>
      </c>
      <c r="D21" s="14">
        <v>970449</v>
      </c>
      <c r="E21" s="14" t="s">
        <v>190</v>
      </c>
      <c r="F21" s="15" t="s">
        <v>191</v>
      </c>
      <c r="G21" s="14" t="s">
        <v>190</v>
      </c>
    </row>
    <row r="22" spans="1:7" ht="22.5" customHeight="1" x14ac:dyDescent="0.3">
      <c r="A22" s="14">
        <v>21</v>
      </c>
      <c r="B22" s="14" t="s">
        <v>51</v>
      </c>
      <c r="C22" s="14" t="s">
        <v>192</v>
      </c>
      <c r="D22" s="14">
        <v>970422</v>
      </c>
      <c r="E22" s="14" t="s">
        <v>53</v>
      </c>
      <c r="F22" s="15" t="s">
        <v>52</v>
      </c>
      <c r="G22" s="14" t="s">
        <v>53</v>
      </c>
    </row>
    <row r="23" spans="1:7" ht="22.5" customHeight="1" x14ac:dyDescent="0.3">
      <c r="A23" s="14">
        <v>22</v>
      </c>
      <c r="B23" s="14" t="s">
        <v>54</v>
      </c>
      <c r="C23" s="14" t="s">
        <v>56</v>
      </c>
      <c r="D23" s="14">
        <v>970426</v>
      </c>
      <c r="E23" s="14" t="s">
        <v>56</v>
      </c>
      <c r="F23" s="15" t="s">
        <v>55</v>
      </c>
      <c r="G23" s="14" t="s">
        <v>56</v>
      </c>
    </row>
    <row r="24" spans="1:7" ht="22.5" customHeight="1" x14ac:dyDescent="0.3">
      <c r="A24" s="14">
        <v>23</v>
      </c>
      <c r="B24" s="14" t="s">
        <v>57</v>
      </c>
      <c r="C24" s="14" t="s">
        <v>193</v>
      </c>
      <c r="D24" s="14">
        <v>970428</v>
      </c>
      <c r="E24" s="14" t="s">
        <v>59</v>
      </c>
      <c r="F24" s="15" t="s">
        <v>58</v>
      </c>
      <c r="G24" s="14" t="s">
        <v>59</v>
      </c>
    </row>
    <row r="25" spans="1:7" ht="22.5" customHeight="1" x14ac:dyDescent="0.3">
      <c r="A25" s="14">
        <v>24</v>
      </c>
      <c r="B25" s="14" t="s">
        <v>60</v>
      </c>
      <c r="C25" s="14" t="s">
        <v>62</v>
      </c>
      <c r="D25" s="14">
        <v>970419</v>
      </c>
      <c r="E25" s="14" t="s">
        <v>62</v>
      </c>
      <c r="F25" s="15" t="s">
        <v>61</v>
      </c>
      <c r="G25" s="14" t="s">
        <v>62</v>
      </c>
    </row>
    <row r="26" spans="1:7" ht="22.5" customHeight="1" x14ac:dyDescent="0.3">
      <c r="A26" s="14">
        <v>25</v>
      </c>
      <c r="B26" s="14" t="s">
        <v>194</v>
      </c>
      <c r="C26" s="14" t="s">
        <v>195</v>
      </c>
      <c r="D26" s="14">
        <v>801011</v>
      </c>
      <c r="E26" s="14" t="s">
        <v>196</v>
      </c>
      <c r="F26" s="15" t="s">
        <v>197</v>
      </c>
      <c r="G26" s="14" t="s">
        <v>196</v>
      </c>
    </row>
    <row r="27" spans="1:7" ht="22.5" customHeight="1" x14ac:dyDescent="0.3">
      <c r="A27" s="14">
        <v>26</v>
      </c>
      <c r="B27" s="14" t="s">
        <v>63</v>
      </c>
      <c r="C27" s="14" t="s">
        <v>65</v>
      </c>
      <c r="D27" s="14">
        <v>970448</v>
      </c>
      <c r="E27" s="14" t="s">
        <v>65</v>
      </c>
      <c r="F27" s="15" t="s">
        <v>64</v>
      </c>
      <c r="G27" s="14" t="s">
        <v>65</v>
      </c>
    </row>
    <row r="28" spans="1:7" ht="22.5" customHeight="1" x14ac:dyDescent="0.3">
      <c r="A28" s="14">
        <v>27</v>
      </c>
      <c r="B28" s="14" t="s">
        <v>198</v>
      </c>
      <c r="C28" s="14" t="s">
        <v>199</v>
      </c>
      <c r="D28" s="14">
        <v>970414</v>
      </c>
      <c r="E28" s="14" t="s">
        <v>199</v>
      </c>
      <c r="F28" s="15" t="s">
        <v>200</v>
      </c>
      <c r="G28" s="14" t="s">
        <v>199</v>
      </c>
    </row>
    <row r="29" spans="1:7" ht="22.5" customHeight="1" x14ac:dyDescent="0.3">
      <c r="A29" s="14">
        <v>28</v>
      </c>
      <c r="B29" s="14" t="s">
        <v>66</v>
      </c>
      <c r="C29" s="14" t="s">
        <v>201</v>
      </c>
      <c r="D29" s="14">
        <v>970439</v>
      </c>
      <c r="E29" s="14" t="s">
        <v>68</v>
      </c>
      <c r="F29" s="15" t="s">
        <v>67</v>
      </c>
      <c r="G29" s="14" t="s">
        <v>68</v>
      </c>
    </row>
    <row r="30" spans="1:7" ht="22.5" customHeight="1" x14ac:dyDescent="0.3">
      <c r="A30" s="14">
        <v>29</v>
      </c>
      <c r="B30" s="14" t="s">
        <v>202</v>
      </c>
      <c r="C30" s="14" t="s">
        <v>203</v>
      </c>
      <c r="D30" s="14">
        <v>970430</v>
      </c>
      <c r="E30" s="14" t="s">
        <v>204</v>
      </c>
      <c r="F30" s="15" t="s">
        <v>205</v>
      </c>
      <c r="G30" s="14" t="s">
        <v>204</v>
      </c>
    </row>
    <row r="31" spans="1:7" ht="22.5" customHeight="1" x14ac:dyDescent="0.3">
      <c r="A31" s="14">
        <v>30</v>
      </c>
      <c r="B31" s="14" t="s">
        <v>69</v>
      </c>
      <c r="C31" s="14" t="s">
        <v>206</v>
      </c>
      <c r="D31" s="14">
        <v>970412</v>
      </c>
      <c r="E31" s="14" t="s">
        <v>71</v>
      </c>
      <c r="F31" s="15" t="s">
        <v>70</v>
      </c>
      <c r="G31" s="14" t="s">
        <v>71</v>
      </c>
    </row>
    <row r="32" spans="1:7" ht="22.5" customHeight="1" x14ac:dyDescent="0.3">
      <c r="A32" s="14">
        <v>31</v>
      </c>
      <c r="B32" s="14" t="s">
        <v>72</v>
      </c>
      <c r="C32" s="14" t="s">
        <v>74</v>
      </c>
      <c r="D32" s="14">
        <v>970429</v>
      </c>
      <c r="E32" s="14" t="s">
        <v>74</v>
      </c>
      <c r="F32" s="15" t="s">
        <v>73</v>
      </c>
      <c r="G32" s="14" t="s">
        <v>74</v>
      </c>
    </row>
    <row r="33" spans="1:7" ht="22.5" customHeight="1" x14ac:dyDescent="0.3">
      <c r="A33" s="14">
        <v>32</v>
      </c>
      <c r="B33" s="14" t="s">
        <v>75</v>
      </c>
      <c r="C33" s="14" t="s">
        <v>207</v>
      </c>
      <c r="D33" s="14">
        <v>970410</v>
      </c>
      <c r="E33" s="14" t="s">
        <v>77</v>
      </c>
      <c r="F33" s="15" t="s">
        <v>76</v>
      </c>
      <c r="G33" s="14" t="s">
        <v>77</v>
      </c>
    </row>
    <row r="34" spans="1:7" ht="22.5" customHeight="1" x14ac:dyDescent="0.3">
      <c r="A34" s="14">
        <v>33</v>
      </c>
      <c r="B34" s="14" t="s">
        <v>78</v>
      </c>
      <c r="C34" s="14" t="s">
        <v>208</v>
      </c>
      <c r="D34" s="14">
        <v>970440</v>
      </c>
      <c r="E34" s="14" t="s">
        <v>80</v>
      </c>
      <c r="F34" s="15" t="s">
        <v>79</v>
      </c>
      <c r="G34" s="14" t="s">
        <v>80</v>
      </c>
    </row>
    <row r="35" spans="1:7" ht="22.5" customHeight="1" x14ac:dyDescent="0.3">
      <c r="A35" s="14">
        <v>34</v>
      </c>
      <c r="B35" s="14" t="s">
        <v>81</v>
      </c>
      <c r="C35" s="14" t="s">
        <v>209</v>
      </c>
      <c r="D35" s="14">
        <v>970400</v>
      </c>
      <c r="E35" s="14" t="s">
        <v>83</v>
      </c>
      <c r="F35" s="15" t="s">
        <v>82</v>
      </c>
      <c r="G35" s="14" t="s">
        <v>83</v>
      </c>
    </row>
    <row r="36" spans="1:7" ht="22.5" customHeight="1" x14ac:dyDescent="0.3">
      <c r="A36" s="14">
        <v>35</v>
      </c>
      <c r="B36" s="14" t="s">
        <v>84</v>
      </c>
      <c r="C36" s="14" t="s">
        <v>86</v>
      </c>
      <c r="D36" s="14">
        <v>970443</v>
      </c>
      <c r="E36" s="14" t="s">
        <v>86</v>
      </c>
      <c r="F36" s="15" t="s">
        <v>85</v>
      </c>
      <c r="G36" s="14" t="s">
        <v>86</v>
      </c>
    </row>
    <row r="37" spans="1:7" ht="22.5" customHeight="1" x14ac:dyDescent="0.3">
      <c r="A37" s="14">
        <v>36</v>
      </c>
      <c r="B37" s="14" t="s">
        <v>87</v>
      </c>
      <c r="C37" s="14" t="s">
        <v>210</v>
      </c>
      <c r="D37" s="14">
        <v>970403</v>
      </c>
      <c r="E37" s="14" t="s">
        <v>89</v>
      </c>
      <c r="F37" s="15" t="s">
        <v>88</v>
      </c>
      <c r="G37" s="14" t="s">
        <v>89</v>
      </c>
    </row>
    <row r="38" spans="1:7" ht="22.5" customHeight="1" x14ac:dyDescent="0.3">
      <c r="A38" s="14">
        <v>37</v>
      </c>
      <c r="B38" s="14" t="s">
        <v>90</v>
      </c>
      <c r="C38" s="14" t="s">
        <v>211</v>
      </c>
      <c r="D38" s="14">
        <v>970424</v>
      </c>
      <c r="E38" s="14" t="s">
        <v>92</v>
      </c>
      <c r="F38" s="15" t="s">
        <v>91</v>
      </c>
      <c r="G38" s="14" t="s">
        <v>92</v>
      </c>
    </row>
    <row r="39" spans="1:7" ht="22.5" customHeight="1" x14ac:dyDescent="0.3">
      <c r="A39" s="14">
        <v>38</v>
      </c>
      <c r="B39" s="14" t="s">
        <v>93</v>
      </c>
      <c r="C39" s="14" t="s">
        <v>212</v>
      </c>
      <c r="D39" s="14">
        <v>970407</v>
      </c>
      <c r="E39" s="14" t="s">
        <v>95</v>
      </c>
      <c r="F39" s="15" t="s">
        <v>94</v>
      </c>
      <c r="G39" s="14" t="s">
        <v>95</v>
      </c>
    </row>
    <row r="40" spans="1:7" ht="22.5" customHeight="1" x14ac:dyDescent="0.3">
      <c r="A40" s="14">
        <v>39</v>
      </c>
      <c r="B40" s="14" t="s">
        <v>96</v>
      </c>
      <c r="C40" s="14" t="s">
        <v>213</v>
      </c>
      <c r="D40" s="14">
        <v>970423</v>
      </c>
      <c r="E40" s="14" t="s">
        <v>98</v>
      </c>
      <c r="F40" s="15" t="s">
        <v>97</v>
      </c>
      <c r="G40" s="14" t="s">
        <v>98</v>
      </c>
    </row>
    <row r="41" spans="1:7" ht="22.5" customHeight="1" x14ac:dyDescent="0.3">
      <c r="A41" s="14">
        <v>40</v>
      </c>
      <c r="B41" s="14" t="s">
        <v>99</v>
      </c>
      <c r="C41" s="14" t="s">
        <v>214</v>
      </c>
      <c r="D41" s="14">
        <v>970458</v>
      </c>
      <c r="E41" s="14" t="s">
        <v>101</v>
      </c>
      <c r="F41" s="15" t="s">
        <v>100</v>
      </c>
      <c r="G41" s="14" t="s">
        <v>101</v>
      </c>
    </row>
    <row r="42" spans="1:7" ht="22.5" customHeight="1" x14ac:dyDescent="0.3">
      <c r="A42" s="14">
        <v>41</v>
      </c>
      <c r="B42" s="14" t="s">
        <v>102</v>
      </c>
      <c r="C42" s="14" t="s">
        <v>215</v>
      </c>
      <c r="D42" s="14">
        <v>970427</v>
      </c>
      <c r="E42" s="14" t="s">
        <v>104</v>
      </c>
      <c r="F42" s="15" t="s">
        <v>103</v>
      </c>
      <c r="G42" s="14" t="s">
        <v>104</v>
      </c>
    </row>
    <row r="43" spans="1:7" ht="22.5" customHeight="1" x14ac:dyDescent="0.3">
      <c r="A43" s="14">
        <v>42</v>
      </c>
      <c r="B43" s="14" t="s">
        <v>105</v>
      </c>
      <c r="C43" s="14" t="s">
        <v>216</v>
      </c>
      <c r="D43" s="14">
        <v>970405</v>
      </c>
      <c r="E43" s="14" t="s">
        <v>107</v>
      </c>
      <c r="F43" s="15" t="s">
        <v>106</v>
      </c>
      <c r="G43" s="14" t="s">
        <v>107</v>
      </c>
    </row>
    <row r="44" spans="1:7" ht="22.5" customHeight="1" x14ac:dyDescent="0.3">
      <c r="A44" s="14">
        <v>43</v>
      </c>
      <c r="B44" s="14" t="s">
        <v>108</v>
      </c>
      <c r="C44" s="14" t="s">
        <v>217</v>
      </c>
      <c r="D44" s="14">
        <v>970436</v>
      </c>
      <c r="E44" s="14" t="s">
        <v>110</v>
      </c>
      <c r="F44" s="15" t="s">
        <v>109</v>
      </c>
      <c r="G44" s="14" t="s">
        <v>110</v>
      </c>
    </row>
    <row r="45" spans="1:7" ht="22.5" customHeight="1" x14ac:dyDescent="0.3">
      <c r="A45" s="14">
        <v>44</v>
      </c>
      <c r="B45" s="14" t="s">
        <v>111</v>
      </c>
      <c r="C45" s="14" t="s">
        <v>218</v>
      </c>
      <c r="D45" s="14">
        <v>970454</v>
      </c>
      <c r="E45" s="14" t="s">
        <v>113</v>
      </c>
      <c r="F45" s="15" t="s">
        <v>112</v>
      </c>
      <c r="G45" s="14" t="s">
        <v>113</v>
      </c>
    </row>
    <row r="46" spans="1:7" ht="22.5" customHeight="1" x14ac:dyDescent="0.3">
      <c r="A46" s="14">
        <v>45</v>
      </c>
      <c r="B46" s="14" t="s">
        <v>114</v>
      </c>
      <c r="C46" s="14" t="s">
        <v>116</v>
      </c>
      <c r="D46" s="14">
        <v>970441</v>
      </c>
      <c r="E46" s="14" t="s">
        <v>116</v>
      </c>
      <c r="F46" s="15" t="s">
        <v>115</v>
      </c>
      <c r="G46" s="14" t="s">
        <v>116</v>
      </c>
    </row>
    <row r="47" spans="1:7" ht="22.5" customHeight="1" x14ac:dyDescent="0.3">
      <c r="A47" s="14">
        <v>46</v>
      </c>
      <c r="B47" s="14" t="s">
        <v>117</v>
      </c>
      <c r="C47" s="14" t="s">
        <v>219</v>
      </c>
      <c r="D47" s="14">
        <v>970433</v>
      </c>
      <c r="E47" s="14" t="s">
        <v>119</v>
      </c>
      <c r="F47" s="15" t="s">
        <v>118</v>
      </c>
      <c r="G47" s="14" t="s">
        <v>119</v>
      </c>
    </row>
    <row r="48" spans="1:7" ht="22.5" customHeight="1" x14ac:dyDescent="0.3">
      <c r="A48" s="14">
        <v>47</v>
      </c>
      <c r="B48" s="14" t="s">
        <v>120</v>
      </c>
      <c r="C48" s="14" t="s">
        <v>220</v>
      </c>
      <c r="D48" s="14">
        <v>970432</v>
      </c>
      <c r="E48" s="14" t="s">
        <v>122</v>
      </c>
      <c r="F48" s="15" t="s">
        <v>121</v>
      </c>
      <c r="G48" s="14" t="s">
        <v>122</v>
      </c>
    </row>
    <row r="49" spans="1:7" ht="22.5" customHeight="1" x14ac:dyDescent="0.3">
      <c r="A49" s="14">
        <v>48</v>
      </c>
      <c r="B49" s="14" t="s">
        <v>123</v>
      </c>
      <c r="C49" s="14" t="s">
        <v>125</v>
      </c>
      <c r="D49" s="14">
        <v>970421</v>
      </c>
      <c r="E49" s="14" t="s">
        <v>125</v>
      </c>
      <c r="F49" s="15" t="s">
        <v>124</v>
      </c>
      <c r="G49" s="14" t="s">
        <v>125</v>
      </c>
    </row>
    <row r="50" spans="1:7" ht="22.5" customHeight="1" x14ac:dyDescent="0.3">
      <c r="A50" s="14">
        <v>49</v>
      </c>
      <c r="B50" s="14" t="s">
        <v>126</v>
      </c>
      <c r="C50" s="14" t="s">
        <v>221</v>
      </c>
      <c r="D50" s="14">
        <v>970457</v>
      </c>
      <c r="E50" s="14" t="s">
        <v>128</v>
      </c>
      <c r="F50" s="15" t="s">
        <v>127</v>
      </c>
      <c r="G50" s="14" t="s">
        <v>128</v>
      </c>
    </row>
    <row r="51" spans="1:7" ht="22.5" customHeight="1" x14ac:dyDescent="0.3">
      <c r="A51" s="14">
        <v>50</v>
      </c>
      <c r="B51" s="14" t="s">
        <v>129</v>
      </c>
      <c r="C51" s="14" t="s">
        <v>222</v>
      </c>
      <c r="D51" s="14">
        <v>970462</v>
      </c>
      <c r="E51" s="14" t="s">
        <v>131</v>
      </c>
      <c r="F51" s="15" t="s">
        <v>130</v>
      </c>
      <c r="G51" s="14" t="s">
        <v>131</v>
      </c>
    </row>
    <row r="52" spans="1:7" ht="22.5" customHeight="1" x14ac:dyDescent="0.3">
      <c r="A52" s="14">
        <v>51</v>
      </c>
      <c r="B52" s="14" t="s">
        <v>132</v>
      </c>
      <c r="C52" s="14" t="s">
        <v>223</v>
      </c>
      <c r="D52" s="14">
        <v>970463</v>
      </c>
      <c r="E52" s="14" t="s">
        <v>134</v>
      </c>
      <c r="F52" s="15" t="s">
        <v>133</v>
      </c>
      <c r="G52" s="14" t="s">
        <v>134</v>
      </c>
    </row>
    <row r="53" spans="1:7" ht="22.5" customHeight="1" x14ac:dyDescent="0.3">
      <c r="A53" s="14">
        <v>52</v>
      </c>
      <c r="B53" s="14" t="s">
        <v>135</v>
      </c>
      <c r="C53" s="14" t="s">
        <v>137</v>
      </c>
      <c r="D53" s="14">
        <v>970446</v>
      </c>
      <c r="E53" s="14" t="s">
        <v>137</v>
      </c>
      <c r="F53" s="15" t="s">
        <v>136</v>
      </c>
      <c r="G53" s="14" t="s">
        <v>137</v>
      </c>
    </row>
    <row r="54" spans="1:7" ht="22.5" customHeight="1" x14ac:dyDescent="0.3">
      <c r="A54" s="14">
        <v>53</v>
      </c>
      <c r="B54" s="14" t="s">
        <v>138</v>
      </c>
      <c r="C54" s="14" t="s">
        <v>140</v>
      </c>
      <c r="D54" s="14">
        <v>546034</v>
      </c>
      <c r="E54" s="14" t="s">
        <v>140</v>
      </c>
      <c r="F54" s="15" t="s">
        <v>139</v>
      </c>
      <c r="G54" s="14" t="s">
        <v>140</v>
      </c>
    </row>
    <row r="55" spans="1:7" ht="22.5" customHeight="1" x14ac:dyDescent="0.3">
      <c r="A55" s="14">
        <v>54</v>
      </c>
      <c r="B55" s="14" t="s">
        <v>141</v>
      </c>
      <c r="C55" s="14" t="s">
        <v>143</v>
      </c>
      <c r="D55" s="14">
        <v>546035</v>
      </c>
      <c r="E55" s="14" t="s">
        <v>143</v>
      </c>
      <c r="F55" s="15" t="s">
        <v>142</v>
      </c>
      <c r="G55" s="14" t="s">
        <v>143</v>
      </c>
    </row>
    <row r="56" spans="1:7" ht="22.5" customHeight="1" x14ac:dyDescent="0.3">
      <c r="A56" s="14">
        <v>55</v>
      </c>
      <c r="B56" s="14" t="s">
        <v>144</v>
      </c>
      <c r="C56" s="14" t="s">
        <v>146</v>
      </c>
      <c r="D56" s="14">
        <v>668888</v>
      </c>
      <c r="E56" s="14" t="s">
        <v>146</v>
      </c>
      <c r="F56" s="15" t="s">
        <v>145</v>
      </c>
      <c r="G56" s="14" t="s">
        <v>146</v>
      </c>
    </row>
    <row r="57" spans="1:7" ht="22.5" customHeight="1" x14ac:dyDescent="0.3">
      <c r="A57" s="14">
        <v>56</v>
      </c>
      <c r="B57" s="14" t="s">
        <v>224</v>
      </c>
      <c r="C57" s="14" t="s">
        <v>225</v>
      </c>
      <c r="D57" s="14">
        <v>971011</v>
      </c>
      <c r="E57" s="14" t="s">
        <v>226</v>
      </c>
      <c r="F57" s="15" t="s">
        <v>227</v>
      </c>
      <c r="G57" s="14" t="s">
        <v>226</v>
      </c>
    </row>
    <row r="58" spans="1:7" ht="22.5" customHeight="1" x14ac:dyDescent="0.3">
      <c r="A58" s="14">
        <v>57</v>
      </c>
      <c r="B58" s="14" t="s">
        <v>228</v>
      </c>
      <c r="C58" s="14" t="s">
        <v>229</v>
      </c>
      <c r="D58" s="14">
        <v>971005</v>
      </c>
      <c r="E58" s="14" t="s">
        <v>230</v>
      </c>
      <c r="F58" s="15" t="s">
        <v>231</v>
      </c>
      <c r="G58" s="14" t="s">
        <v>230</v>
      </c>
    </row>
    <row r="59" spans="1:7" ht="22.5" customHeight="1" x14ac:dyDescent="0.3">
      <c r="A59" s="14">
        <v>58</v>
      </c>
      <c r="B59" s="14" t="s">
        <v>147</v>
      </c>
      <c r="C59" s="14" t="s">
        <v>232</v>
      </c>
      <c r="D59" s="14">
        <v>963388</v>
      </c>
      <c r="E59" s="14" t="s">
        <v>149</v>
      </c>
      <c r="F59" s="15" t="s">
        <v>148</v>
      </c>
      <c r="G59" s="14" t="s">
        <v>149</v>
      </c>
    </row>
    <row r="60" spans="1:7" ht="22.5" customHeight="1" x14ac:dyDescent="0.3">
      <c r="A60" s="14">
        <v>59</v>
      </c>
      <c r="B60" s="14" t="s">
        <v>150</v>
      </c>
      <c r="C60" s="14" t="s">
        <v>233</v>
      </c>
      <c r="D60" s="14">
        <v>533948</v>
      </c>
      <c r="E60" s="14" t="s">
        <v>152</v>
      </c>
      <c r="F60" s="15" t="s">
        <v>151</v>
      </c>
      <c r="G60" s="14" t="s">
        <v>152</v>
      </c>
    </row>
    <row r="61" spans="1:7" ht="22.5" customHeight="1" x14ac:dyDescent="0.3">
      <c r="A61" s="14">
        <v>60</v>
      </c>
      <c r="B61" s="14" t="s">
        <v>234</v>
      </c>
      <c r="C61" s="14" t="s">
        <v>235</v>
      </c>
      <c r="D61" s="14">
        <v>970466</v>
      </c>
      <c r="E61" s="14" t="s">
        <v>236</v>
      </c>
      <c r="F61" s="15" t="s">
        <v>237</v>
      </c>
      <c r="G61" s="14" t="s">
        <v>236</v>
      </c>
    </row>
    <row r="62" spans="1:7" ht="22.5" customHeight="1" x14ac:dyDescent="0.3">
      <c r="A62" s="14">
        <v>61</v>
      </c>
      <c r="B62" s="14" t="s">
        <v>238</v>
      </c>
      <c r="C62" s="14" t="s">
        <v>239</v>
      </c>
      <c r="D62" s="14">
        <v>970467</v>
      </c>
      <c r="E62" s="14" t="s">
        <v>239</v>
      </c>
      <c r="F62" s="15" t="s">
        <v>240</v>
      </c>
      <c r="G62" s="14" t="s">
        <v>239</v>
      </c>
    </row>
    <row r="63" spans="1:7" ht="22.5" customHeight="1" x14ac:dyDescent="0.3">
      <c r="A63" s="14">
        <v>62</v>
      </c>
      <c r="B63" s="14" t="s">
        <v>241</v>
      </c>
      <c r="C63" s="14" t="s">
        <v>242</v>
      </c>
      <c r="D63" s="14">
        <v>977777</v>
      </c>
      <c r="E63" s="14" t="s">
        <v>242</v>
      </c>
      <c r="F63" s="15" t="s">
        <v>243</v>
      </c>
      <c r="G63" s="14" t="s">
        <v>242</v>
      </c>
    </row>
    <row r="64" spans="1:7" ht="22.5" customHeight="1" x14ac:dyDescent="0.3">
      <c r="A64" s="14">
        <v>63</v>
      </c>
      <c r="B64" s="14" t="s">
        <v>244</v>
      </c>
      <c r="C64" s="14" t="s">
        <v>245</v>
      </c>
      <c r="D64" s="14">
        <v>999888</v>
      </c>
      <c r="E64" s="14" t="s">
        <v>245</v>
      </c>
      <c r="F64" s="15" t="s">
        <v>246</v>
      </c>
      <c r="G64" s="14" t="s">
        <v>245</v>
      </c>
    </row>
    <row r="65" spans="1:7" ht="22.5" customHeight="1" x14ac:dyDescent="0.3">
      <c r="A65" s="14">
        <v>64</v>
      </c>
      <c r="B65" s="14" t="s">
        <v>153</v>
      </c>
      <c r="C65" s="14" t="s">
        <v>247</v>
      </c>
      <c r="D65" s="14">
        <v>971133</v>
      </c>
      <c r="E65" s="14" t="s">
        <v>154</v>
      </c>
      <c r="F65" s="15" t="s">
        <v>70</v>
      </c>
      <c r="G65" s="14" t="s">
        <v>154</v>
      </c>
    </row>
    <row r="66" spans="1:7" ht="22.5" customHeight="1" x14ac:dyDescent="0.3">
      <c r="A66" s="14">
        <v>65</v>
      </c>
      <c r="B66" s="14" t="s">
        <v>155</v>
      </c>
      <c r="C66" s="14" t="s">
        <v>248</v>
      </c>
      <c r="D66" s="14">
        <v>971025</v>
      </c>
      <c r="E66" s="14" t="s">
        <v>157</v>
      </c>
      <c r="F66" s="15" t="s">
        <v>156</v>
      </c>
      <c r="G66" s="14" t="s">
        <v>157</v>
      </c>
    </row>
  </sheetData>
  <dataValidations count="1">
    <dataValidation type="custom" allowBlank="1" showDropDown="1" sqref="A2:A66 D2:D66" xr:uid="{00000000-0002-0000-0200-000000000000}">
      <formula1>AND(ISNUMBER(A2),(NOT(OR(NOT(ISERROR(DATEVALUE(A2))), AND(ISNUMBER(A2), LEFT(CELL("format", A2))="D")))))</formula1>
    </dataValidation>
  </dataValidations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F34" r:id="rId33" xr:uid="{00000000-0004-0000-0200-000020000000}"/>
    <hyperlink ref="F35" r:id="rId34" xr:uid="{00000000-0004-0000-0200-000021000000}"/>
    <hyperlink ref="F36" r:id="rId35" xr:uid="{00000000-0004-0000-0200-000022000000}"/>
    <hyperlink ref="F37" r:id="rId36" xr:uid="{00000000-0004-0000-0200-000023000000}"/>
    <hyperlink ref="F38" r:id="rId37" xr:uid="{00000000-0004-0000-0200-000024000000}"/>
    <hyperlink ref="F39" r:id="rId38" xr:uid="{00000000-0004-0000-0200-000025000000}"/>
    <hyperlink ref="F40" r:id="rId39" xr:uid="{00000000-0004-0000-0200-000026000000}"/>
    <hyperlink ref="F41" r:id="rId40" xr:uid="{00000000-0004-0000-0200-000027000000}"/>
    <hyperlink ref="F42" r:id="rId41" xr:uid="{00000000-0004-0000-0200-000028000000}"/>
    <hyperlink ref="F43" r:id="rId42" xr:uid="{00000000-0004-0000-0200-000029000000}"/>
    <hyperlink ref="F44" r:id="rId43" xr:uid="{00000000-0004-0000-0200-00002A000000}"/>
    <hyperlink ref="F45" r:id="rId44" xr:uid="{00000000-0004-0000-0200-00002B000000}"/>
    <hyperlink ref="F46" r:id="rId45" xr:uid="{00000000-0004-0000-0200-00002C000000}"/>
    <hyperlink ref="F47" r:id="rId46" xr:uid="{00000000-0004-0000-0200-00002D000000}"/>
    <hyperlink ref="F48" r:id="rId47" xr:uid="{00000000-0004-0000-0200-00002E000000}"/>
    <hyperlink ref="F49" r:id="rId48" xr:uid="{00000000-0004-0000-0200-00002F000000}"/>
    <hyperlink ref="F50" r:id="rId49" xr:uid="{00000000-0004-0000-0200-000030000000}"/>
    <hyperlink ref="F51" r:id="rId50" xr:uid="{00000000-0004-0000-0200-000031000000}"/>
    <hyperlink ref="F52" r:id="rId51" xr:uid="{00000000-0004-0000-0200-000032000000}"/>
    <hyperlink ref="F53" r:id="rId52" xr:uid="{00000000-0004-0000-0200-000033000000}"/>
    <hyperlink ref="F54" r:id="rId53" xr:uid="{00000000-0004-0000-0200-000034000000}"/>
    <hyperlink ref="F55" r:id="rId54" xr:uid="{00000000-0004-0000-0200-000035000000}"/>
    <hyperlink ref="F56" r:id="rId55" xr:uid="{00000000-0004-0000-0200-000036000000}"/>
    <hyperlink ref="F57" r:id="rId56" xr:uid="{00000000-0004-0000-0200-000037000000}"/>
    <hyperlink ref="F58" r:id="rId57" xr:uid="{00000000-0004-0000-0200-000038000000}"/>
    <hyperlink ref="F59" r:id="rId58" xr:uid="{00000000-0004-0000-0200-000039000000}"/>
    <hyperlink ref="F60" r:id="rId59" xr:uid="{00000000-0004-0000-0200-00003A000000}"/>
    <hyperlink ref="F61" r:id="rId60" xr:uid="{00000000-0004-0000-0200-00003B000000}"/>
    <hyperlink ref="F62" r:id="rId61" xr:uid="{00000000-0004-0000-0200-00003C000000}"/>
    <hyperlink ref="F63" r:id="rId62" xr:uid="{00000000-0004-0000-0200-00003D000000}"/>
    <hyperlink ref="F64" r:id="rId63" xr:uid="{00000000-0004-0000-0200-00003E000000}"/>
    <hyperlink ref="F65" r:id="rId64" xr:uid="{00000000-0004-0000-0200-00003F000000}"/>
    <hyperlink ref="F66" r:id="rId65" xr:uid="{00000000-0004-0000-0200-000040000000}"/>
  </hyperlinks>
  <pageMargins left="0.7" right="0.7" top="0.75" bottom="0.75" header="0.3" footer="0.3"/>
  <tableParts count="1">
    <tablePart r:id="rId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Viet_qr_Gsheet</vt:lpstr>
      <vt:lpstr>List_bank</vt:lpstr>
      <vt:lpstr>API - 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Tuan Kiet Huynh</dc:creator>
  <cp:lastModifiedBy>Tran Tuan Kiet Huynh</cp:lastModifiedBy>
  <dcterms:created xsi:type="dcterms:W3CDTF">2026-06-03T08:19:01Z</dcterms:created>
  <dcterms:modified xsi:type="dcterms:W3CDTF">2026-06-03T09:57:33Z</dcterms:modified>
</cp:coreProperties>
</file>