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DF408A0D-FDBD-4D5E-8D71-41F2577C304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<sst xmlns="http://schemas.openxmlformats.org/spreadsheetml/2006/main" count="359" uniqueCount="262">
  <si>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</si>
  <si>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</si>
  <si>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</si>
  <si>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</si>
  <si>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</si>
  <si>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</si>
  <si>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</si>
  <si>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</si>
  <si>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</si>
  <si>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</si>
  <si>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</si>
  <si>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</si>
  <si>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</si>
  <si>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</si>
  <si>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</si>
  <si>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</si>
  <si>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</si>
  <si>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</si>
  <si>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</si>
  <si>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</si>
  <si>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</si>
  <si>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</si>
  <si>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</si>
  <si>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</si>
  <si>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</si>
  <si>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</si>
  <si>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</si>
  <si>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</si>
  <si>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</si>
  <si>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</si>
  <si>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</si>
  <si>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</si>
  <si>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</si>
  <si>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</si>
  <si>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</si>
  <si>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</si>
  <si>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</si>
  <si>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</si>
  <si>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</si>
  <si>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</si>
  <si>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</si>
  <si>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</si>
  <si>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</si>
  <si>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</si>
  <si>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</si>
  <si>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</si>
  <si>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</si>
  <si>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</si>
  <si>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</si>
  <si>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</si>
  <si>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</si>
  <si>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</si>
  <si>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</si>
  <si>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</si>
  <si>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</si>
  <si>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</si>
  <si>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</si>
  <si>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</si>
  <si>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</si>
  <si>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</si>
  <si>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</si>
  <si>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</si>
  <si>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</si>
  <si>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</si>
  <si>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</si>
  <si>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</si>
  <si>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</si>
  <si>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</si>
  <si>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</si>
  <si>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</si>
  <si>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</si>
  <si>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</si>
  <si>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</si>
  <si>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</si>
  <si>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</si>
  <si>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</si>
  <si>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</si>
  <si>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</si>
  <si>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</si>
  <si>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</si>
  <si>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</si>
  <si>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</si>
  <si>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</si>
  <si>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</si>
  <si>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</si>
  <si>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</si>
  <si>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</si>
  <si>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</si>
  <si>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</si>
  <si>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</si>
  <si>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</si>
  <si>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</si>
  <si>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</si>
  <si>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</si>
  <si>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</si>
  <si>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</si>
  <si>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</si>
  <si>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</si>
  <si>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</si>
  <si>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</si>
  <si>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</si>
  <si>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</si>
  <si>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</si>
  <si>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</si>
  <si>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</si>
  <si>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</si>
  <si>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</si>
  <si>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</si>
  <si>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</si>
  <si>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</si>
  <si>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</si>
  <si>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</si>
  <si>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</si>
  <si>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</si>
  <si>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</si>
  <si>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</si>
  <si>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</si>
  <si>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</si>
  <si>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</si>
  <si>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</si>
  <si>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</si>
  <si>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</si>
  <si>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</si>
  <si>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</si>
  <si>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</si>
  <si>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</si>
  <si>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</si>
  <si>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</si>
  <si>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</si>
  <si>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</si>
  <si>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</si>
  <si>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</si>
  <si>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</si>
  <si>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</si>
  <si>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</si>
  <si>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</si>
  <si>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</si>
  <si>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</si>
  <si>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</si>
  <si>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</si>
  <si>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</si>
  <si>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</si>
  <si>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</si>
  <si>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</si>
  <si>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</si>
  <si>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</si>
  <si>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</si>
  <si>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</si>
  <si>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</si>
  <si>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</si>
  <si>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</si>
  <si>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</si>
  <si>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</si>
  <si>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</si>
  <si>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</si>
  <si>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</si>
  <si>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</si>
  <si>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</si>
  <si>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</si>
  <si>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</si>
  <si>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</si>
  <si>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</si>
  <si>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</si>
  <si>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</si>
  <si>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</si>
  <si>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</si>
  <si>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</si>
  <si>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</si>
  <si>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</si>
  <si>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</si>
  <si>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</si>
  <si>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</si>
  <si>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</si>
  <si>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</si>
  <si>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</si>
  <si>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</si>
  <si>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</si>
  <si>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</si>
  <si>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</si>
  <si>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</si>
  <si>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</si>
  <si>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</si>
  <si>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</si>
  <si>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</si>
  <si>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</si>
  <si>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</si>
  <si>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</si>
  <si>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</si>
  <si>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</si>
  <si>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</si>
  <si>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</si>
  <si>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</si>
  <si>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</si>
  <si>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</si>
  <si>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</si>
  <si>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</si>
  <si>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</si>
  <si>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</si>
  <si>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</si>
  <si>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</si>
  <si>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</si>
  <si>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</si>
  <si>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</si>
  <si>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</si>
  <si>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</si>
  <si>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</si>
  <si>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</si>
  <si>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</si>
  <si>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</si>
  <si>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</si>
  <si>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</si>
  <si>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</si>
  <si>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</si>
  <si>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</si>
  <si>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</si>
  <si>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</si>
  <si>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</si>
  <si>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</si>
  <si>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</si>
  <si>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</si>
  <si>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</si>
  <si>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</si>
  <si>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</si>
  <si>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</si>
  <si>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</si>
  <si>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</si>
  <si>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</si>
  <si>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</si>
  <si>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</si>
  <si>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</si>
  <si>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</si>
  <si>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</si>
  <si>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</si>
  <si>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</si>
  <si>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</si>
  <si>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</si>
  <si>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</si>
  <si>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</si>
  <si>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</si>
  <si>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</si>
  <si>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</si>
  <si>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</si>
  <si>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</si>
  <si>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</si>
  <si>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</si>
  <si>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</si>
  <si>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</si>
  <si>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</si>
  <si>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</si>
  <si>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</si>
  <si>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</si>
  <si>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</si>
  <si>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</si>
  <si>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</si>
  <si>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</si>
  <si>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TCB_446</t>
  </si>
  <si>
    <t>TCB -iPanDa</t>
  </si>
  <si>
    <t>MS00T09548691713297</t>
  </si>
  <si>
    <t>VIB_064</t>
  </si>
  <si>
    <t>064933000</t>
  </si>
  <si>
    <t>VIB_052</t>
  </si>
  <si>
    <t>052004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</si>
</sst>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D5" sqref="D5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256</v>
      </c>
      <c r="C2" s="1" t="s">
        <v>257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38</v>
      </c>
      <c r="B3" t="s">
        <v>255</v>
      </c>
      <c r="C3">
        <v>44699999999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A4">
        <v>45</v>
      </c>
      <c r="B4" t="s">
        <v>258</v>
      </c>
      <c r="C4" s="1" t="s">
        <v>259</v>
      </c>
      <c r="D4" t="s">
        <v>10</v>
      </c>
      <c r="E4" t="str">
        <f>IFERROR((VLOOKUP(A4,'API - io'!$A:$H,5,0)),"-")</f>
        <v>VIB</v>
      </c>
      <c r="F4" t="str">
        <f>IFERROR((VLOOKUP(A4,'API - io'!$A:$H,3,0)),"-")</f>
        <v>VIB</v>
      </c>
      <c r="G4">
        <f>IFERROR((VLOOKUP(A4,'API - io'!$A:$G,4,0)),"-")</f>
        <v>970441</v>
      </c>
      <c r="H4" t="str">
        <f>IFERROR((VLOOKUP(A4,'API - io'!$A:$G,5,0)),"-")</f>
        <v>VIB</v>
      </c>
      <c r="I4" t="str">
        <f>IFERROR((VLOOKUP(A4,'API - io'!$A:$G,6,0)),"-")</f>
        <v>https://cdn.vietqr.io/img/VIB.png</v>
      </c>
      <c r="J4" t="str">
        <f>IFERROR((VLOOKUP(A4,'API - io'!$A:$G,7,0)),"-")</f>
        <v>VIB</v>
      </c>
    </row>
    <row r="5" spans="1:10" x14ac:dyDescent="0.3">
      <c r="A5">
        <v>45</v>
      </c>
      <c r="B5" t="s">
        <v>260</v>
      </c>
      <c r="C5" s="1" t="s">
        <v>261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C6" s="1"/>
      <c r="E6" t="str">
        <f>IFERROR((VLOOKUP(A6,'API - io'!$A:$H,5,0)),"-")</f>
        <v>-</v>
      </c>
      <c r="F6" t="str">
        <f>IFERROR((VLOOKUP(A6,'API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C7" s="1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C8" s="1"/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C9" s="1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1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C11" s="1"/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ignoredErrors>
    <ignoredError sqref="A1:J1 A3 C3:D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34" workbookViewId="0">
      <selection activeCell="C46" sqref="C4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45 A47:H66 B46:H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2026-06-04T03:51:28Z</dcterms:modified>
</cp:coreProperties>
</file>