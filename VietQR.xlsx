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D:\Git\qr_bank\"/>
    </mc:Choice>
  </mc:AlternateContent>
  <xr:revisionPtr revIDLastSave="0" documentId="13_ncr:1_{BFD7049D-1382-4735-9700-F3F7653A6AAA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List_bank" sheetId="1" r:id="rId1"/>
    <sheet name="API - io" sheetId="2" r:id="rId2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0" i="1" l="1"/>
  <c r="I100" i="1"/>
  <c r="H100" i="1"/>
  <c r="G100" i="1"/>
  <c r="F100" i="1"/>
  <c r="E100" i="1"/>
  <c r="J99" i="1"/>
  <c r="I99" i="1"/>
  <c r="H99" i="1"/>
  <c r="G99" i="1"/>
  <c r="F99" i="1"/>
  <c r="E99" i="1"/>
  <c r="J98" i="1"/>
  <c r="I98" i="1"/>
  <c r="H98" i="1"/>
  <c r="G98" i="1"/>
  <c r="F98" i="1"/>
  <c r="E98" i="1"/>
  <c r="J97" i="1"/>
  <c r="I97" i="1"/>
  <c r="H97" i="1"/>
  <c r="G97" i="1"/>
  <c r="F97" i="1"/>
  <c r="E97" i="1"/>
  <c r="J96" i="1"/>
  <c r="I96" i="1"/>
  <c r="H96" i="1"/>
  <c r="G96" i="1"/>
  <c r="F96" i="1"/>
  <c r="E96" i="1"/>
  <c r="J95" i="1"/>
  <c r="I95" i="1"/>
  <c r="H95" i="1"/>
  <c r="G95" i="1"/>
  <c r="F95" i="1"/>
  <c r="E95" i="1"/>
  <c r="J94" i="1"/>
  <c r="I94" i="1"/>
  <c r="H94" i="1"/>
  <c r="G94" i="1"/>
  <c r="F94" i="1"/>
  <c r="E94" i="1"/>
  <c r="J93" i="1"/>
  <c r="I93" i="1"/>
  <c r="H93" i="1"/>
  <c r="G93" i="1"/>
  <c r="F93" i="1"/>
  <c r="E93" i="1"/>
  <c r="J92" i="1"/>
  <c r="I92" i="1"/>
  <c r="H92" i="1"/>
  <c r="G92" i="1"/>
  <c r="F92" i="1"/>
  <c r="E92" i="1"/>
  <c r="J91" i="1"/>
  <c r="I91" i="1"/>
  <c r="H91" i="1"/>
  <c r="G91" i="1"/>
  <c r="F91" i="1"/>
  <c r="E91" i="1"/>
  <c r="J90" i="1"/>
  <c r="I90" i="1"/>
  <c r="H90" i="1"/>
  <c r="G90" i="1"/>
  <c r="F90" i="1"/>
  <c r="E90" i="1"/>
  <c r="J89" i="1"/>
  <c r="I89" i="1"/>
  <c r="H89" i="1"/>
  <c r="G89" i="1"/>
  <c r="F89" i="1"/>
  <c r="E89" i="1"/>
  <c r="J88" i="1"/>
  <c r="I88" i="1"/>
  <c r="H88" i="1"/>
  <c r="G88" i="1"/>
  <c r="F88" i="1"/>
  <c r="E88" i="1"/>
  <c r="J87" i="1"/>
  <c r="I87" i="1"/>
  <c r="H87" i="1"/>
  <c r="G87" i="1"/>
  <c r="F87" i="1"/>
  <c r="E87" i="1"/>
  <c r="J86" i="1"/>
  <c r="I86" i="1"/>
  <c r="H86" i="1"/>
  <c r="G86" i="1"/>
  <c r="F86" i="1"/>
  <c r="E86" i="1"/>
  <c r="J85" i="1"/>
  <c r="I85" i="1"/>
  <c r="H85" i="1"/>
  <c r="G85" i="1"/>
  <c r="F85" i="1"/>
  <c r="E85" i="1"/>
  <c r="J84" i="1"/>
  <c r="I84" i="1"/>
  <c r="H84" i="1"/>
  <c r="G84" i="1"/>
  <c r="F84" i="1"/>
  <c r="E84" i="1"/>
  <c r="J83" i="1"/>
  <c r="I83" i="1"/>
  <c r="H83" i="1"/>
  <c r="G83" i="1"/>
  <c r="F83" i="1"/>
  <c r="E83" i="1"/>
  <c r="J82" i="1"/>
  <c r="I82" i="1"/>
  <c r="H82" i="1"/>
  <c r="G82" i="1"/>
  <c r="F82" i="1"/>
  <c r="E82" i="1"/>
  <c r="J81" i="1"/>
  <c r="I81" i="1"/>
  <c r="H81" i="1"/>
  <c r="G81" i="1"/>
  <c r="F81" i="1"/>
  <c r="E81" i="1"/>
  <c r="J80" i="1"/>
  <c r="I80" i="1"/>
  <c r="H80" i="1"/>
  <c r="G80" i="1"/>
  <c r="F80" i="1"/>
  <c r="E80" i="1"/>
  <c r="J79" i="1"/>
  <c r="I79" i="1"/>
  <c r="H79" i="1"/>
  <c r="G79" i="1"/>
  <c r="F79" i="1"/>
  <c r="E79" i="1"/>
  <c r="J78" i="1"/>
  <c r="I78" i="1"/>
  <c r="H78" i="1"/>
  <c r="G78" i="1"/>
  <c r="F78" i="1"/>
  <c r="E78" i="1"/>
  <c r="J77" i="1"/>
  <c r="I77" i="1"/>
  <c r="H77" i="1"/>
  <c r="G77" i="1"/>
  <c r="F77" i="1"/>
  <c r="E77" i="1"/>
  <c r="J76" i="1"/>
  <c r="I76" i="1"/>
  <c r="H76" i="1"/>
  <c r="G76" i="1"/>
  <c r="F76" i="1"/>
  <c r="E76" i="1"/>
  <c r="J75" i="1"/>
  <c r="I75" i="1"/>
  <c r="H75" i="1"/>
  <c r="G75" i="1"/>
  <c r="F75" i="1"/>
  <c r="E75" i="1"/>
  <c r="J74" i="1"/>
  <c r="I74" i="1"/>
  <c r="H74" i="1"/>
  <c r="G74" i="1"/>
  <c r="F74" i="1"/>
  <c r="E74" i="1"/>
  <c r="J73" i="1"/>
  <c r="I73" i="1"/>
  <c r="H73" i="1"/>
  <c r="G73" i="1"/>
  <c r="F73" i="1"/>
  <c r="E73" i="1"/>
  <c r="J72" i="1"/>
  <c r="I72" i="1"/>
  <c r="H72" i="1"/>
  <c r="G72" i="1"/>
  <c r="F72" i="1"/>
  <c r="E72" i="1"/>
  <c r="J71" i="1"/>
  <c r="I71" i="1"/>
  <c r="H71" i="1"/>
  <c r="G71" i="1"/>
  <c r="F71" i="1"/>
  <c r="E71" i="1"/>
  <c r="J70" i="1"/>
  <c r="I70" i="1"/>
  <c r="H70" i="1"/>
  <c r="G70" i="1"/>
  <c r="F70" i="1"/>
  <c r="E70" i="1"/>
  <c r="J69" i="1"/>
  <c r="I69" i="1"/>
  <c r="H69" i="1"/>
  <c r="G69" i="1"/>
  <c r="F69" i="1"/>
  <c r="E69" i="1"/>
  <c r="J68" i="1"/>
  <c r="I68" i="1"/>
  <c r="H68" i="1"/>
  <c r="G68" i="1"/>
  <c r="F68" i="1"/>
  <c r="E68" i="1"/>
  <c r="J67" i="1"/>
  <c r="I67" i="1"/>
  <c r="H67" i="1"/>
  <c r="G67" i="1"/>
  <c r="F67" i="1"/>
  <c r="E67" i="1"/>
  <c r="J66" i="1"/>
  <c r="I66" i="1"/>
  <c r="H66" i="1"/>
  <c r="G66" i="1"/>
  <c r="F66" i="1"/>
  <c r="E66" i="1"/>
  <c r="J65" i="1"/>
  <c r="I65" i="1"/>
  <c r="H65" i="1"/>
  <c r="G65" i="1"/>
  <c r="F65" i="1"/>
  <c r="E65" i="1"/>
  <c r="J64" i="1"/>
  <c r="I64" i="1"/>
  <c r="H64" i="1"/>
  <c r="G64" i="1"/>
  <c r="F64" i="1"/>
  <c r="E64" i="1"/>
  <c r="J63" i="1"/>
  <c r="I63" i="1"/>
  <c r="H63" i="1"/>
  <c r="G63" i="1"/>
  <c r="F63" i="1"/>
  <c r="E63" i="1"/>
  <c r="J62" i="1"/>
  <c r="I62" i="1"/>
  <c r="H62" i="1"/>
  <c r="G62" i="1"/>
  <c r="F62" i="1"/>
  <c r="E62" i="1"/>
  <c r="J61" i="1"/>
  <c r="I61" i="1"/>
  <c r="H61" i="1"/>
  <c r="G61" i="1"/>
  <c r="F61" i="1"/>
  <c r="E61" i="1"/>
  <c r="J60" i="1"/>
  <c r="I60" i="1"/>
  <c r="H60" i="1"/>
  <c r="G60" i="1"/>
  <c r="F60" i="1"/>
  <c r="E60" i="1"/>
  <c r="J59" i="1"/>
  <c r="I59" i="1"/>
  <c r="H59" i="1"/>
  <c r="G59" i="1"/>
  <c r="F59" i="1"/>
  <c r="E59" i="1"/>
  <c r="J58" i="1"/>
  <c r="I58" i="1"/>
  <c r="H58" i="1"/>
  <c r="G58" i="1"/>
  <c r="F58" i="1"/>
  <c r="E58" i="1"/>
  <c r="J57" i="1"/>
  <c r="I57" i="1"/>
  <c r="H57" i="1"/>
  <c r="G57" i="1"/>
  <c r="F57" i="1"/>
  <c r="E57" i="1"/>
  <c r="J56" i="1"/>
  <c r="I56" i="1"/>
  <c r="H56" i="1"/>
  <c r="G56" i="1"/>
  <c r="F56" i="1"/>
  <c r="E56" i="1"/>
  <c r="J55" i="1"/>
  <c r="I55" i="1"/>
  <c r="H55" i="1"/>
  <c r="G55" i="1"/>
  <c r="F55" i="1"/>
  <c r="E55" i="1"/>
  <c r="J54" i="1"/>
  <c r="I54" i="1"/>
  <c r="H54" i="1"/>
  <c r="G54" i="1"/>
  <c r="F54" i="1"/>
  <c r="E54" i="1"/>
  <c r="J53" i="1"/>
  <c r="I53" i="1"/>
  <c r="H53" i="1"/>
  <c r="G53" i="1"/>
  <c r="F53" i="1"/>
  <c r="E53" i="1"/>
  <c r="J52" i="1"/>
  <c r="I52" i="1"/>
  <c r="H52" i="1"/>
  <c r="G52" i="1"/>
  <c r="F52" i="1"/>
  <c r="E52" i="1"/>
  <c r="J51" i="1"/>
  <c r="I51" i="1"/>
  <c r="H51" i="1"/>
  <c r="G51" i="1"/>
  <c r="F51" i="1"/>
  <c r="E51" i="1"/>
  <c r="J50" i="1"/>
  <c r="I50" i="1"/>
  <c r="H50" i="1"/>
  <c r="G50" i="1"/>
  <c r="F50" i="1"/>
  <c r="E50" i="1"/>
  <c r="J49" i="1"/>
  <c r="I49" i="1"/>
  <c r="H49" i="1"/>
  <c r="G49" i="1"/>
  <c r="F49" i="1"/>
  <c r="E49" i="1"/>
  <c r="J48" i="1"/>
  <c r="I48" i="1"/>
  <c r="H48" i="1"/>
  <c r="G48" i="1"/>
  <c r="F48" i="1"/>
  <c r="E48" i="1"/>
  <c r="J47" i="1"/>
  <c r="I47" i="1"/>
  <c r="H47" i="1"/>
  <c r="G47" i="1"/>
  <c r="F47" i="1"/>
  <c r="E47" i="1"/>
  <c r="J46" i="1"/>
  <c r="I46" i="1"/>
  <c r="H46" i="1"/>
  <c r="G46" i="1"/>
  <c r="F46" i="1"/>
  <c r="E46" i="1"/>
  <c r="J45" i="1"/>
  <c r="I45" i="1"/>
  <c r="H45" i="1"/>
  <c r="G45" i="1"/>
  <c r="F45" i="1"/>
  <c r="E45" i="1"/>
  <c r="J44" i="1"/>
  <c r="I44" i="1"/>
  <c r="H44" i="1"/>
  <c r="G44" i="1"/>
  <c r="F44" i="1"/>
  <c r="E44" i="1"/>
  <c r="J43" i="1"/>
  <c r="I43" i="1"/>
  <c r="H43" i="1"/>
  <c r="G43" i="1"/>
  <c r="F43" i="1"/>
  <c r="E43" i="1"/>
  <c r="J42" i="1"/>
  <c r="I42" i="1"/>
  <c r="H42" i="1"/>
  <c r="G42" i="1"/>
  <c r="F42" i="1"/>
  <c r="E42" i="1"/>
  <c r="J41" i="1"/>
  <c r="I41" i="1"/>
  <c r="H41" i="1"/>
  <c r="G41" i="1"/>
  <c r="F41" i="1"/>
  <c r="E41" i="1"/>
  <c r="J40" i="1"/>
  <c r="I40" i="1"/>
  <c r="H40" i="1"/>
  <c r="G40" i="1"/>
  <c r="F40" i="1"/>
  <c r="E40" i="1"/>
  <c r="J39" i="1"/>
  <c r="I39" i="1"/>
  <c r="H39" i="1"/>
  <c r="G39" i="1"/>
  <c r="F39" i="1"/>
  <c r="E39" i="1"/>
  <c r="J38" i="1"/>
  <c r="I38" i="1"/>
  <c r="H38" i="1"/>
  <c r="G38" i="1"/>
  <c r="F38" i="1"/>
  <c r="E38" i="1"/>
  <c r="J37" i="1"/>
  <c r="I37" i="1"/>
  <c r="H37" i="1"/>
  <c r="G37" i="1"/>
  <c r="F37" i="1"/>
  <c r="E37" i="1"/>
  <c r="J36" i="1"/>
  <c r="I36" i="1"/>
  <c r="H36" i="1"/>
  <c r="G36" i="1"/>
  <c r="F36" i="1"/>
  <c r="E36" i="1"/>
  <c r="J35" i="1"/>
  <c r="I35" i="1"/>
  <c r="H35" i="1"/>
  <c r="G35" i="1"/>
  <c r="F35" i="1"/>
  <c r="E35" i="1"/>
  <c r="J34" i="1"/>
  <c r="I34" i="1"/>
  <c r="H34" i="1"/>
  <c r="G34" i="1"/>
  <c r="F34" i="1"/>
  <c r="E34" i="1"/>
  <c r="J33" i="1"/>
  <c r="I33" i="1"/>
  <c r="H33" i="1"/>
  <c r="G33" i="1"/>
  <c r="F33" i="1"/>
  <c r="E33" i="1"/>
  <c r="J32" i="1"/>
  <c r="I32" i="1"/>
  <c r="H32" i="1"/>
  <c r="G32" i="1"/>
  <c r="F32" i="1"/>
  <c r="E32" i="1"/>
  <c r="J31" i="1"/>
  <c r="I31" i="1"/>
  <c r="H31" i="1"/>
  <c r="G31" i="1"/>
  <c r="F31" i="1"/>
  <c r="E31" i="1"/>
  <c r="J30" i="1"/>
  <c r="I30" i="1"/>
  <c r="H30" i="1"/>
  <c r="G30" i="1"/>
  <c r="F30" i="1"/>
  <c r="E30" i="1"/>
  <c r="J29" i="1"/>
  <c r="I29" i="1"/>
  <c r="H29" i="1"/>
  <c r="G29" i="1"/>
  <c r="F29" i="1"/>
  <c r="E29" i="1"/>
  <c r="J28" i="1"/>
  <c r="I28" i="1"/>
  <c r="H28" i="1"/>
  <c r="G28" i="1"/>
  <c r="F28" i="1"/>
  <c r="E28" i="1"/>
  <c r="J27" i="1"/>
  <c r="I27" i="1"/>
  <c r="H27" i="1"/>
  <c r="G27" i="1"/>
  <c r="F27" i="1"/>
  <c r="E27" i="1"/>
  <c r="J26" i="1"/>
  <c r="I26" i="1"/>
  <c r="H26" i="1"/>
  <c r="G26" i="1"/>
  <c r="F26" i="1"/>
  <c r="E26" i="1"/>
  <c r="J25" i="1"/>
  <c r="I25" i="1"/>
  <c r="H25" i="1"/>
  <c r="G25" i="1"/>
  <c r="F25" i="1"/>
  <c r="E25" i="1"/>
  <c r="J24" i="1"/>
  <c r="I24" i="1"/>
  <c r="H24" i="1"/>
  <c r="G24" i="1"/>
  <c r="F24" i="1"/>
  <c r="E24" i="1"/>
  <c r="J23" i="1"/>
  <c r="I23" i="1"/>
  <c r="H23" i="1"/>
  <c r="G23" i="1"/>
  <c r="F23" i="1"/>
  <c r="E23" i="1"/>
  <c r="J22" i="1"/>
  <c r="I22" i="1"/>
  <c r="H22" i="1"/>
  <c r="G22" i="1"/>
  <c r="F22" i="1"/>
  <c r="E22" i="1"/>
  <c r="J21" i="1"/>
  <c r="I21" i="1"/>
  <c r="H21" i="1"/>
  <c r="G21" i="1"/>
  <c r="F21" i="1"/>
  <c r="E21" i="1"/>
  <c r="J20" i="1"/>
  <c r="I20" i="1"/>
  <c r="H20" i="1"/>
  <c r="G20" i="1"/>
  <c r="F20" i="1"/>
  <c r="E20" i="1"/>
  <c r="J19" i="1"/>
  <c r="I19" i="1"/>
  <c r="H19" i="1"/>
  <c r="G19" i="1"/>
  <c r="F19" i="1"/>
  <c r="E19" i="1"/>
  <c r="J18" i="1"/>
  <c r="I18" i="1"/>
  <c r="H18" i="1"/>
  <c r="G18" i="1"/>
  <c r="F18" i="1"/>
  <c r="E18" i="1"/>
  <c r="J17" i="1"/>
  <c r="I17" i="1"/>
  <c r="H17" i="1"/>
  <c r="G17" i="1"/>
  <c r="F17" i="1"/>
  <c r="E17" i="1"/>
  <c r="J16" i="1"/>
  <c r="I16" i="1"/>
  <c r="H16" i="1"/>
  <c r="G16" i="1"/>
  <c r="F16" i="1"/>
  <c r="E16" i="1"/>
  <c r="J15" i="1"/>
  <c r="I15" i="1"/>
  <c r="H15" i="1"/>
  <c r="G15" i="1"/>
  <c r="F15" i="1"/>
  <c r="E15" i="1"/>
  <c r="J14" i="1"/>
  <c r="I14" i="1"/>
  <c r="H14" i="1"/>
  <c r="G14" i="1"/>
  <c r="F14" i="1"/>
  <c r="E14" i="1"/>
  <c r="J13" i="1"/>
  <c r="I13" i="1"/>
  <c r="H13" i="1"/>
  <c r="G13" i="1"/>
  <c r="F13" i="1"/>
  <c r="E13" i="1"/>
  <c r="J12" i="1"/>
  <c r="I12" i="1"/>
  <c r="H12" i="1"/>
  <c r="G12" i="1"/>
  <c r="F12" i="1"/>
  <c r="E12" i="1"/>
  <c r="J11" i="1"/>
  <c r="I11" i="1"/>
  <c r="H11" i="1"/>
  <c r="G11" i="1"/>
  <c r="F11" i="1"/>
  <c r="E11" i="1"/>
  <c r="J10" i="1"/>
  <c r="I10" i="1"/>
  <c r="H10" i="1"/>
  <c r="G10" i="1"/>
  <c r="F10" i="1"/>
  <c r="E10" i="1"/>
  <c r="J9" i="1"/>
  <c r="I9" i="1"/>
  <c r="H9" i="1"/>
  <c r="G9" i="1"/>
  <c r="F9" i="1"/>
  <c r="E9" i="1"/>
  <c r="J8" i="1"/>
  <c r="I8" i="1"/>
  <c r="H8" i="1"/>
  <c r="G8" i="1"/>
  <c r="F8" i="1"/>
  <c r="E8" i="1"/>
  <c r="J7" i="1"/>
  <c r="I7" i="1"/>
  <c r="H7" i="1"/>
  <c r="G7" i="1"/>
  <c r="F7" i="1"/>
  <c r="E7" i="1"/>
  <c r="J6" i="1"/>
  <c r="I6" i="1"/>
  <c r="H6" i="1"/>
  <c r="G6" i="1"/>
  <c r="F6" i="1"/>
  <c r="E6" i="1"/>
  <c r="J5" i="1"/>
  <c r="I5" i="1"/>
  <c r="H5" i="1"/>
  <c r="G5" i="1"/>
  <c r="F5" i="1"/>
  <c r="E5" i="1"/>
  <c r="J4" i="1"/>
  <c r="I4" i="1"/>
  <c r="H4" i="1"/>
  <c r="G4" i="1"/>
  <c r="F4" i="1"/>
  <c r="E4" i="1"/>
  <c r="J3" i="1"/>
  <c r="I3" i="1"/>
  <c r="H3" i="1"/>
  <c r="G3" i="1"/>
  <c r="F3" i="1"/>
  <c r="E3" i="1"/>
  <c r="F2" i="1"/>
  <c r="E2" i="1"/>
  <c r="J2" i="1"/>
  <c r="I2" i="1"/>
  <c r="H2" i="1"/>
  <c r="G2" i="1"/>
</calcChain>
</file>

<file path=xl/sharedStrings.xml><?xml version="1.0" encoding="utf-8"?>
<sst xmlns="http://schemas.openxmlformats.org/spreadsheetml/2006/main" count="367" uniqueCount="267">
  <si>
    <t>data__id</t>
  </si>
  <si>
    <t>list_name</t>
  </si>
  <si>
    <t>data_num</t>
  </si>
  <si>
    <t>name_ac</t>
  </si>
  <si>
    <t>data__name</t>
  </si>
  <si>
    <t>data__code</t>
  </si>
  <si>
    <t>data__bin</t>
  </si>
  <si>
    <t>data__shortName</t>
  </si>
  <si>
    <t>data__logo</t>
  </si>
  <si>
    <t>data__short_name</t>
  </si>
  <si>
    <t>Huynh Tran Tuan Kiet</t>
  </si>
  <si>
    <t>Ngân hàng TMCP An Bình</t>
  </si>
  <si>
    <t>ABB</t>
  </si>
  <si>
    <t>ABBANK</t>
  </si>
  <si>
    <t>https://cdn.vietqr.io/img/ABB.png</t>
  </si>
  <si>
    <t>compact2</t>
  </si>
  <si>
    <t>Ngân hàng TMCP Á Châu</t>
  </si>
  <si>
    <t>ACB</t>
  </si>
  <si>
    <t>https://cdn.vietqr.io/img/ACB.png</t>
  </si>
  <si>
    <t>compact</t>
  </si>
  <si>
    <t>Ngân hàng TMCP Bắc Á</t>
  </si>
  <si>
    <t>BAB</t>
  </si>
  <si>
    <t>BacABank</t>
  </si>
  <si>
    <t>https://cdn.vietqr.io/img/BAB.png</t>
  </si>
  <si>
    <t>print</t>
  </si>
  <si>
    <t>Ngân hàng TMCP Đầu tư và Phát triển Việt Nam</t>
  </si>
  <si>
    <t>BIDV</t>
  </si>
  <si>
    <t>https://cdn.vietqr.io/img/BIDV.png</t>
  </si>
  <si>
    <t>BdT8CDO</t>
  </si>
  <si>
    <t>Ngân hàng TMCP Bảo Việt</t>
  </si>
  <si>
    <t>BVB</t>
  </si>
  <si>
    <t>BaoVietBank</t>
  </si>
  <si>
    <t>https://cdn.vietqr.io/img/BVB.png</t>
  </si>
  <si>
    <t>qr_only</t>
  </si>
  <si>
    <t>Ngân hàng Thương mại TNHH MTV Xây dựng Việt Nam</t>
  </si>
  <si>
    <t>CBB</t>
  </si>
  <si>
    <t>CBBank</t>
  </si>
  <si>
    <t>https://cdn.vietqr.io/img/CBB.png</t>
  </si>
  <si>
    <t>Ngân hàng TNHH MTV CIMB Việt Nam</t>
  </si>
  <si>
    <t>CIMB</t>
  </si>
  <si>
    <t>https://cdn.vietqr.io/img/CIMB.png</t>
  </si>
  <si>
    <t>DBS Bank Ltd - Chi nhánh Thành phố Hồ Chí Minh</t>
  </si>
  <si>
    <t>DBS</t>
  </si>
  <si>
    <t>DBSBank</t>
  </si>
  <si>
    <t>https://cdn.vietqr.io/img/DBS.png</t>
  </si>
  <si>
    <t>Ngân hàng TNHH MTV Số Vikki</t>
  </si>
  <si>
    <t>Vikki</t>
  </si>
  <si>
    <t>https://cdn.vietqr.io/img/Vikki.png</t>
  </si>
  <si>
    <t>Ngân hàng TMCP Xuất Nhập khẩu Việt Nam</t>
  </si>
  <si>
    <t>EIB</t>
  </si>
  <si>
    <t>Eximbank</t>
  </si>
  <si>
    <t>https://cdn.vietqr.io/img/EIB.png</t>
  </si>
  <si>
    <t>Ngân hàng Thương mại TNHH MTV Dầu Khí Toàn Cầu</t>
  </si>
  <si>
    <t>GPB</t>
  </si>
  <si>
    <t>GPBank</t>
  </si>
  <si>
    <t>https://cdn.vietqr.io/img/GPB.png</t>
  </si>
  <si>
    <t>Ngân hàng TMCP Phát triển Thành phố Hồ Chí Minh</t>
  </si>
  <si>
    <t>HDB</t>
  </si>
  <si>
    <t>HDBank</t>
  </si>
  <si>
    <t>https://cdn.vietqr.io/img/HDB.png</t>
  </si>
  <si>
    <t>Ngân hàng TNHH MTV Hong Leong Việt Nam</t>
  </si>
  <si>
    <t>HLBVN</t>
  </si>
  <si>
    <t>HongLeong</t>
  </si>
  <si>
    <t>https://cdn.vietqr.io/img/HLBVN.png</t>
  </si>
  <si>
    <t>Ngân hàng TNHH MTV HSBC (Việt Nam)</t>
  </si>
  <si>
    <t>HSBC</t>
  </si>
  <si>
    <t>https://cdn.vietqr.io/img/HSBC.png</t>
  </si>
  <si>
    <t>Ngân hàng Công nghiệp Hàn Quốc - Chi nhánh Hà Nội</t>
  </si>
  <si>
    <t>IBK - HN</t>
  </si>
  <si>
    <t>IBKHN</t>
  </si>
  <si>
    <t>https://cdn.vietqr.io/img/IBK.png</t>
  </si>
  <si>
    <t>Ngân hàng Công nghiệp Hàn Quốc - Chi nhánh TP. Hồ Chí Minh</t>
  </si>
  <si>
    <t>IBK - HCM</t>
  </si>
  <si>
    <t>IBKHCM</t>
  </si>
  <si>
    <t>Ngân hàng TMCP Công thương Việt Nam</t>
  </si>
  <si>
    <t>ICB</t>
  </si>
  <si>
    <t>VietinBank</t>
  </si>
  <si>
    <t>https://cdn.vietqr.io/img/ICB.png</t>
  </si>
  <si>
    <t>Ngân hàng TNHH Indovina</t>
  </si>
  <si>
    <t>IVB</t>
  </si>
  <si>
    <t>IndovinaBank</t>
  </si>
  <si>
    <t>https://cdn.vietqr.io/img/IVB.png</t>
  </si>
  <si>
    <t>Ngân hàng TMCP Kiên Long</t>
  </si>
  <si>
    <t>KLB</t>
  </si>
  <si>
    <t>KienLongBank</t>
  </si>
  <si>
    <t>https://cdn.vietqr.io/img/KLB.png</t>
  </si>
  <si>
    <t>Ngân hàng TMCP Lộc Phát Việt Nam</t>
  </si>
  <si>
    <t>LPB</t>
  </si>
  <si>
    <t>LPBank</t>
  </si>
  <si>
    <t>https://cdn.vietqr.io/img/LPB.png</t>
  </si>
  <si>
    <t>Ngân hàng TMCP Quân đội</t>
  </si>
  <si>
    <t>MB</t>
  </si>
  <si>
    <t>MBBank</t>
  </si>
  <si>
    <t>https://cdn.vietqr.io/img/MB.png</t>
  </si>
  <si>
    <t>Ngân hàng TMCP Hàng Hải Việt Nam</t>
  </si>
  <si>
    <t>MSB</t>
  </si>
  <si>
    <t>https://cdn.vietqr.io/img/MSB.png</t>
  </si>
  <si>
    <t>Ngân hàng TMCP Nam Á</t>
  </si>
  <si>
    <t>NAB</t>
  </si>
  <si>
    <t>NamABank</t>
  </si>
  <si>
    <t>https://cdn.vietqr.io/img/NAB.png</t>
  </si>
  <si>
    <t>Ngân hàng TMCP Quốc Dân</t>
  </si>
  <si>
    <t>NCB</t>
  </si>
  <si>
    <t>https://cdn.vietqr.io/img/NCB.png</t>
  </si>
  <si>
    <t>Ngân hàng Nonghyup - Chi nhánh Hà Nội</t>
  </si>
  <si>
    <t>NHB HN</t>
  </si>
  <si>
    <t>Nonghyup</t>
  </si>
  <si>
    <t>https://cdn.vietqr.io/img/NHB.png</t>
  </si>
  <si>
    <t>Ngân hàng TMCP Phương Đông</t>
  </si>
  <si>
    <t>OCB</t>
  </si>
  <si>
    <t>https://cdn.vietqr.io/img/OCB.png</t>
  </si>
  <si>
    <t>Ngân hàng TNHH MTV Việt Nam Hiện Đại</t>
  </si>
  <si>
    <t>MBV</t>
  </si>
  <si>
    <t>https://cdn.vietqr.io/img/MBV.png</t>
  </si>
  <si>
    <t>Ngân hàng TNHH MTV Public Việt Nam</t>
  </si>
  <si>
    <t>PBVN</t>
  </si>
  <si>
    <t>PublicBank</t>
  </si>
  <si>
    <t>https://cdn.vietqr.io/img/PBVN.png</t>
  </si>
  <si>
    <t>Ngân hàng TMCP Thịnh vượng và Phát triển</t>
  </si>
  <si>
    <t>PGB</t>
  </si>
  <si>
    <t>PGBank</t>
  </si>
  <si>
    <t>https://cdn.vietqr.io/img/PGB.png</t>
  </si>
  <si>
    <t>Ngân hàng TMCP Đại Chúng Việt Nam</t>
  </si>
  <si>
    <t>PVCB</t>
  </si>
  <si>
    <t>PVcomBank</t>
  </si>
  <si>
    <t>https://cdn.vietqr.io/img/PVCB.png</t>
  </si>
  <si>
    <t>Ngân hàng TMCP Sài Gòn</t>
  </si>
  <si>
    <t>SCB</t>
  </si>
  <si>
    <t>https://cdn.vietqr.io/img/SCB.png</t>
  </si>
  <si>
    <t>Ngân hàng TNHH MTV Standard Chartered Bank Việt Nam</t>
  </si>
  <si>
    <t>SCVN</t>
  </si>
  <si>
    <t>StandardChartered</t>
  </si>
  <si>
    <t>https://cdn.vietqr.io/img/SCVN.png</t>
  </si>
  <si>
    <t>Ngân hàng TMCP Đông Nam Á</t>
  </si>
  <si>
    <t>SEAB</t>
  </si>
  <si>
    <t>SeABank</t>
  </si>
  <si>
    <t>https://cdn.vietqr.io/img/SEAB.png</t>
  </si>
  <si>
    <t>Ngân hàng TMCP Sài Gòn Công Thương</t>
  </si>
  <si>
    <t>SGICB</t>
  </si>
  <si>
    <t>SaigonBank</t>
  </si>
  <si>
    <t>https://cdn.vietqr.io/img/SGICB.png</t>
  </si>
  <si>
    <t>Ngân hàng TMCP Sài Gòn - Hà Nội</t>
  </si>
  <si>
    <t>SHB</t>
  </si>
  <si>
    <t>https://cdn.vietqr.io/img/SHB.png</t>
  </si>
  <si>
    <t>Ngân hàng TMCP Sài Gòn Thương Tín</t>
  </si>
  <si>
    <t>STB</t>
  </si>
  <si>
    <t>Sacombank</t>
  </si>
  <si>
    <t>https://cdn.vietqr.io/img/STB.png</t>
  </si>
  <si>
    <t>Ngân hàng TNHH MTV Shinhan Việt Nam</t>
  </si>
  <si>
    <t>SHBVN</t>
  </si>
  <si>
    <t>ShinhanBank</t>
  </si>
  <si>
    <t>https://cdn.vietqr.io/img/SHBVN.png</t>
  </si>
  <si>
    <t>Ngân hàng TMCP Kỹ thương Việt Nam</t>
  </si>
  <si>
    <t>TCB</t>
  </si>
  <si>
    <t>Techcombank</t>
  </si>
  <si>
    <t>https://cdn.vietqr.io/img/TCB.png</t>
  </si>
  <si>
    <t>Ngân hàng TMCP Tiên Phong</t>
  </si>
  <si>
    <t>TPB</t>
  </si>
  <si>
    <t>TPBank</t>
  </si>
  <si>
    <t>https://cdn.vietqr.io/img/TPB.png</t>
  </si>
  <si>
    <t>Ngân hàng United Overseas - Chi nhánh TP. Hồ Chí Minh</t>
  </si>
  <si>
    <t>UOB</t>
  </si>
  <si>
    <t>UnitedOverseas</t>
  </si>
  <si>
    <t>https://cdn.vietqr.io/img/UOB.png</t>
  </si>
  <si>
    <t>Ngân hàng TMCP Việt Á</t>
  </si>
  <si>
    <t>VAB</t>
  </si>
  <si>
    <t>VietABank</t>
  </si>
  <si>
    <t>https://cdn.vietqr.io/img/VAB.png</t>
  </si>
  <si>
    <t>Ngân hàng Nông nghiệp và Phát triển Nông thôn Việt Nam</t>
  </si>
  <si>
    <t>VBA</t>
  </si>
  <si>
    <t>Agribank</t>
  </si>
  <si>
    <t>https://cdn.vietqr.io/img/VBA.png</t>
  </si>
  <si>
    <t>Ngân hàng TMCP Ngoại Thương Việt Nam</t>
  </si>
  <si>
    <t>VCB</t>
  </si>
  <si>
    <t>Vietcombank</t>
  </si>
  <si>
    <t>https://cdn.vietqr.io/img/VCB.png</t>
  </si>
  <si>
    <t>Ngân hàng TMCP Bản Việt</t>
  </si>
  <si>
    <t>VCCB</t>
  </si>
  <si>
    <t>VietCapitalBank</t>
  </si>
  <si>
    <t>https://cdn.vietqr.io/img/VCCB.png</t>
  </si>
  <si>
    <t>Ngân hàng TMCP Quốc tế Việt Nam</t>
  </si>
  <si>
    <t>VIB</t>
  </si>
  <si>
    <t>https://cdn.vietqr.io/img/VIB.png</t>
  </si>
  <si>
    <t>Ngân hàng TMCP Việt Nam Thương Tín</t>
  </si>
  <si>
    <t>VIETBANK</t>
  </si>
  <si>
    <t>VietBank</t>
  </si>
  <si>
    <t>https://cdn.vietqr.io/img/VIETBANK.png</t>
  </si>
  <si>
    <t>Ngân hàng TMCP Việt Nam Thịnh Vượng</t>
  </si>
  <si>
    <t>VPB</t>
  </si>
  <si>
    <t>VPBank</t>
  </si>
  <si>
    <t>https://cdn.vietqr.io/img/VPB.png</t>
  </si>
  <si>
    <t>Ngân hàng Liên doanh Việt - Nga</t>
  </si>
  <si>
    <t>VRB</t>
  </si>
  <si>
    <t>https://cdn.vietqr.io/img/VRB.png</t>
  </si>
  <si>
    <t>Ngân hàng TNHH MTV Woori Việt Nam</t>
  </si>
  <si>
    <t>WVN</t>
  </si>
  <si>
    <t>Woori</t>
  </si>
  <si>
    <t>https://cdn.vietqr.io/img/WVN.png</t>
  </si>
  <si>
    <t>Ngân hàng Kookmin - Chi nhánh Hà Nội</t>
  </si>
  <si>
    <t>KBHN</t>
  </si>
  <si>
    <t>KookminHN</t>
  </si>
  <si>
    <t>https://cdn.vietqr.io/img/KBHN.png</t>
  </si>
  <si>
    <t>Ngân hàng Kookmin - Chi nhánh Thành phố Hồ Chí Minh</t>
  </si>
  <si>
    <t>KBHCM</t>
  </si>
  <si>
    <t>KookminHCM</t>
  </si>
  <si>
    <t>https://cdn.vietqr.io/img/KBHCM.png</t>
  </si>
  <si>
    <t>Ngân hàng Hợp tác xã Việt Nam</t>
  </si>
  <si>
    <t>COOPBANK</t>
  </si>
  <si>
    <t>https://cdn.vietqr.io/img/COOPBANK.png</t>
  </si>
  <si>
    <t>TMCP Việt Nam Thịnh Vượng - Ngân hàng số CAKE by VPBank</t>
  </si>
  <si>
    <t>CAKE</t>
  </si>
  <si>
    <t>https://cdn.vietqr.io/img/CAKE.png</t>
  </si>
  <si>
    <t>TMCP Việt Nam Thịnh Vượng - Ngân hàng số Ubank by VPBank</t>
  </si>
  <si>
    <t>Ubank</t>
  </si>
  <si>
    <t>https://cdn.vietqr.io/img/UBANK.png</t>
  </si>
  <si>
    <t>Ngân hàng Đại chúng TNHH Kasikornbank</t>
  </si>
  <si>
    <t>KBank</t>
  </si>
  <si>
    <t>https://cdn.vietqr.io/img/KBANK.png</t>
  </si>
  <si>
    <t>VNPT Money</t>
  </si>
  <si>
    <t>VNPTMONEY</t>
  </si>
  <si>
    <t>VNPTMoney</t>
  </si>
  <si>
    <t>https://cdn.vietqr.io/img/VNPTMONEY.png</t>
  </si>
  <si>
    <t>Tổng Công ty Dịch vụ số Viettel - Chi nhánh tập đoàn công nghiệp viễn thông Quân Đội</t>
  </si>
  <si>
    <t>VTLMONEY</t>
  </si>
  <si>
    <t>ViettelMoney</t>
  </si>
  <si>
    <t>https://cdn.vietqr.io/img/VIETTELMONEY.png</t>
  </si>
  <si>
    <t>Ngân hàng số Timo by Ban Viet Bank (Timo by Ban Viet Bank)</t>
  </si>
  <si>
    <t>TIMO</t>
  </si>
  <si>
    <t>Timo</t>
  </si>
  <si>
    <t>https://vietqr.net/portal-service/resources/icons/TIMO.png</t>
  </si>
  <si>
    <t>Ngân hàng Citibank, N.A. - Chi nhánh Hà Nội</t>
  </si>
  <si>
    <t>CITIBANK</t>
  </si>
  <si>
    <t>Citibank</t>
  </si>
  <si>
    <t>https://cdn.vietqr.io/img/CITIBANK.png</t>
  </si>
  <si>
    <t>Ngân hàng KEB Hana – Chi nhánh Thành phố Hồ Chí Minh</t>
  </si>
  <si>
    <t>KEBHANAHCM</t>
  </si>
  <si>
    <t>KEBHanaHCM</t>
  </si>
  <si>
    <t>https://cdn.vietqr.io/img/KEBHANAHCM.png</t>
  </si>
  <si>
    <t>Ngân hàng KEB Hana – Chi nhánh Hà Nội</t>
  </si>
  <si>
    <t>KEBHANAHN</t>
  </si>
  <si>
    <t>https://cdn.vietqr.io/img/KEBHANAHN.png</t>
  </si>
  <si>
    <t>Công ty Tài chính TNHH MTV Mirae Asset (Việt Nam)</t>
  </si>
  <si>
    <t>MAFC</t>
  </si>
  <si>
    <t>https://cdn.vietqr.io/img/MAFC.png</t>
  </si>
  <si>
    <t>Ngân hàng Chính sách Xã hội</t>
  </si>
  <si>
    <t>VBSP</t>
  </si>
  <si>
    <t>https://cdn.vietqr.io/img/VBSP.png</t>
  </si>
  <si>
    <t>Ngân hàng TMCP Đại Chúng Việt Nam Ngân hàng số</t>
  </si>
  <si>
    <t>PVDB</t>
  </si>
  <si>
    <t>PVcomBank Pay</t>
  </si>
  <si>
    <t>CTCP Dịch Vụ Di Động Trực Tuyến</t>
  </si>
  <si>
    <t>momo</t>
  </si>
  <si>
    <t>MoMo</t>
  </si>
  <si>
    <t>https://cdn.vietqr.io/img/momo.png</t>
  </si>
  <si>
    <t>MS00T09548691713297</t>
  </si>
  <si>
    <t>064933000</t>
  </si>
  <si>
    <t>052004</t>
  </si>
  <si>
    <t>Template</t>
  </si>
  <si>
    <t>iPA</t>
  </si>
  <si>
    <t>Tech - 999</t>
  </si>
  <si>
    <t>VIB - 000</t>
  </si>
  <si>
    <t>VIB - 004</t>
  </si>
  <si>
    <t>Phan Le Duy Khoi</t>
  </si>
  <si>
    <t>Viettel Money</t>
  </si>
  <si>
    <t>9704229201938100000</t>
  </si>
  <si>
    <t>PhanLe Duy Khoi</t>
  </si>
  <si>
    <t>105878043349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</si>
</sst>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49" fontId="0" fillId="0" borderId="0" xfId="0" quotePrefix="1" applyNumberFormat="1"/>
    <xf numFmtId="49" fontId="0" fillId="0" borderId="0" xfId="0" quotePrefix="1" applyNumberFormat="1" applyAlignment="1">
      <alignment horizontal="left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ABB.png" TargetMode="External"/><Relationship Id="rId21" Type="http://schemas.openxmlformats.org/officeDocument/2006/relationships/hyperlink" Target="https://cdn.vietqr.io/img/ABB.png" TargetMode="External"/><Relationship Id="rId42" Type="http://schemas.openxmlformats.org/officeDocument/2006/relationships/hyperlink" Target="https://cdn.vietqr.io/img/ABB.png" TargetMode="External"/><Relationship Id="rId47" Type="http://schemas.openxmlformats.org/officeDocument/2006/relationships/hyperlink" Target="https://cdn.vietqr.io/img/ABB.png" TargetMode="External"/><Relationship Id="rId63" Type="http://schemas.openxmlformats.org/officeDocument/2006/relationships/hyperlink" Target="https://cdn.vietqr.io/img/ABB.png" TargetMode="External"/><Relationship Id="rId68" Type="http://schemas.openxmlformats.org/officeDocument/2006/relationships/hyperlink" Target="https://cdn.vietqr.io/img/ABB.png" TargetMode="External"/><Relationship Id="rId84" Type="http://schemas.openxmlformats.org/officeDocument/2006/relationships/hyperlink" Target="https://cdn.vietqr.io/img/ABB.png" TargetMode="External"/><Relationship Id="rId89" Type="http://schemas.openxmlformats.org/officeDocument/2006/relationships/hyperlink" Target="https://cdn.vietqr.io/img/ABB.png" TargetMode="External"/><Relationship Id="rId16" Type="http://schemas.openxmlformats.org/officeDocument/2006/relationships/hyperlink" Target="https://cdn.vietqr.io/img/ABB.png" TargetMode="External"/><Relationship Id="rId11" Type="http://schemas.openxmlformats.org/officeDocument/2006/relationships/hyperlink" Target="https://cdn.vietqr.io/img/ABB.png" TargetMode="External"/><Relationship Id="rId32" Type="http://schemas.openxmlformats.org/officeDocument/2006/relationships/hyperlink" Target="https://cdn.vietqr.io/img/ABB.png" TargetMode="External"/><Relationship Id="rId37" Type="http://schemas.openxmlformats.org/officeDocument/2006/relationships/hyperlink" Target="https://cdn.vietqr.io/img/ABB.png" TargetMode="External"/><Relationship Id="rId53" Type="http://schemas.openxmlformats.org/officeDocument/2006/relationships/hyperlink" Target="https://cdn.vietqr.io/img/ABB.png" TargetMode="External"/><Relationship Id="rId58" Type="http://schemas.openxmlformats.org/officeDocument/2006/relationships/hyperlink" Target="https://cdn.vietqr.io/img/ABB.png" TargetMode="External"/><Relationship Id="rId74" Type="http://schemas.openxmlformats.org/officeDocument/2006/relationships/hyperlink" Target="https://cdn.vietqr.io/img/ABB.png" TargetMode="External"/><Relationship Id="rId79" Type="http://schemas.openxmlformats.org/officeDocument/2006/relationships/hyperlink" Target="https://cdn.vietqr.io/img/ABB.png" TargetMode="External"/><Relationship Id="rId5" Type="http://schemas.openxmlformats.org/officeDocument/2006/relationships/hyperlink" Target="https://cdn.vietqr.io/img/ABB.png" TargetMode="External"/><Relationship Id="rId90" Type="http://schemas.openxmlformats.org/officeDocument/2006/relationships/hyperlink" Target="https://cdn.vietqr.io/img/ABB.png" TargetMode="External"/><Relationship Id="rId95" Type="http://schemas.openxmlformats.org/officeDocument/2006/relationships/hyperlink" Target="https://cdn.vietqr.io/img/ABB.png" TargetMode="External"/><Relationship Id="rId22" Type="http://schemas.openxmlformats.org/officeDocument/2006/relationships/hyperlink" Target="https://cdn.vietqr.io/img/ABB.png" TargetMode="External"/><Relationship Id="rId27" Type="http://schemas.openxmlformats.org/officeDocument/2006/relationships/hyperlink" Target="https://cdn.vietqr.io/img/ABB.png" TargetMode="External"/><Relationship Id="rId43" Type="http://schemas.openxmlformats.org/officeDocument/2006/relationships/hyperlink" Target="https://cdn.vietqr.io/img/ABB.png" TargetMode="External"/><Relationship Id="rId48" Type="http://schemas.openxmlformats.org/officeDocument/2006/relationships/hyperlink" Target="https://cdn.vietqr.io/img/ABB.png" TargetMode="External"/><Relationship Id="rId64" Type="http://schemas.openxmlformats.org/officeDocument/2006/relationships/hyperlink" Target="https://cdn.vietqr.io/img/ABB.png" TargetMode="External"/><Relationship Id="rId69" Type="http://schemas.openxmlformats.org/officeDocument/2006/relationships/hyperlink" Target="https://cdn.vietqr.io/img/ABB.png" TargetMode="External"/><Relationship Id="rId80" Type="http://schemas.openxmlformats.org/officeDocument/2006/relationships/hyperlink" Target="https://cdn.vietqr.io/img/ABB.png" TargetMode="External"/><Relationship Id="rId85" Type="http://schemas.openxmlformats.org/officeDocument/2006/relationships/hyperlink" Target="https://cdn.vietqr.io/img/ABB.png" TargetMode="External"/><Relationship Id="rId3" Type="http://schemas.openxmlformats.org/officeDocument/2006/relationships/hyperlink" Target="https://cdn.vietqr.io/img/ABB.png" TargetMode="External"/><Relationship Id="rId12" Type="http://schemas.openxmlformats.org/officeDocument/2006/relationships/hyperlink" Target="https://cdn.vietqr.io/img/ABB.png" TargetMode="External"/><Relationship Id="rId17" Type="http://schemas.openxmlformats.org/officeDocument/2006/relationships/hyperlink" Target="https://cdn.vietqr.io/img/ABB.png" TargetMode="External"/><Relationship Id="rId25" Type="http://schemas.openxmlformats.org/officeDocument/2006/relationships/hyperlink" Target="https://cdn.vietqr.io/img/ABB.png" TargetMode="External"/><Relationship Id="rId33" Type="http://schemas.openxmlformats.org/officeDocument/2006/relationships/hyperlink" Target="https://cdn.vietqr.io/img/ABB.png" TargetMode="External"/><Relationship Id="rId38" Type="http://schemas.openxmlformats.org/officeDocument/2006/relationships/hyperlink" Target="https://cdn.vietqr.io/img/ABB.png" TargetMode="External"/><Relationship Id="rId46" Type="http://schemas.openxmlformats.org/officeDocument/2006/relationships/hyperlink" Target="https://cdn.vietqr.io/img/ABB.png" TargetMode="External"/><Relationship Id="rId59" Type="http://schemas.openxmlformats.org/officeDocument/2006/relationships/hyperlink" Target="https://cdn.vietqr.io/img/ABB.png" TargetMode="External"/><Relationship Id="rId67" Type="http://schemas.openxmlformats.org/officeDocument/2006/relationships/hyperlink" Target="https://cdn.vietqr.io/img/ABB.png" TargetMode="External"/><Relationship Id="rId20" Type="http://schemas.openxmlformats.org/officeDocument/2006/relationships/hyperlink" Target="https://cdn.vietqr.io/img/ABB.png" TargetMode="External"/><Relationship Id="rId41" Type="http://schemas.openxmlformats.org/officeDocument/2006/relationships/hyperlink" Target="https://cdn.vietqr.io/img/ABB.png" TargetMode="External"/><Relationship Id="rId54" Type="http://schemas.openxmlformats.org/officeDocument/2006/relationships/hyperlink" Target="https://cdn.vietqr.io/img/ABB.png" TargetMode="External"/><Relationship Id="rId62" Type="http://schemas.openxmlformats.org/officeDocument/2006/relationships/hyperlink" Target="https://cdn.vietqr.io/img/ABB.png" TargetMode="External"/><Relationship Id="rId70" Type="http://schemas.openxmlformats.org/officeDocument/2006/relationships/hyperlink" Target="https://cdn.vietqr.io/img/ABB.png" TargetMode="External"/><Relationship Id="rId75" Type="http://schemas.openxmlformats.org/officeDocument/2006/relationships/hyperlink" Target="https://cdn.vietqr.io/img/ABB.png" TargetMode="External"/><Relationship Id="rId83" Type="http://schemas.openxmlformats.org/officeDocument/2006/relationships/hyperlink" Target="https://cdn.vietqr.io/img/ABB.png" TargetMode="External"/><Relationship Id="rId88" Type="http://schemas.openxmlformats.org/officeDocument/2006/relationships/hyperlink" Target="https://cdn.vietqr.io/img/ABB.png" TargetMode="External"/><Relationship Id="rId91" Type="http://schemas.openxmlformats.org/officeDocument/2006/relationships/hyperlink" Target="https://cdn.vietqr.io/img/ABB.png" TargetMode="External"/><Relationship Id="rId96" Type="http://schemas.openxmlformats.org/officeDocument/2006/relationships/hyperlink" Target="https://cdn.vietqr.io/img/ABB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ABB.png" TargetMode="External"/><Relationship Id="rId15" Type="http://schemas.openxmlformats.org/officeDocument/2006/relationships/hyperlink" Target="https://cdn.vietqr.io/img/ABB.png" TargetMode="External"/><Relationship Id="rId23" Type="http://schemas.openxmlformats.org/officeDocument/2006/relationships/hyperlink" Target="https://cdn.vietqr.io/img/ABB.png" TargetMode="External"/><Relationship Id="rId28" Type="http://schemas.openxmlformats.org/officeDocument/2006/relationships/hyperlink" Target="https://cdn.vietqr.io/img/ABB.png" TargetMode="External"/><Relationship Id="rId36" Type="http://schemas.openxmlformats.org/officeDocument/2006/relationships/hyperlink" Target="https://cdn.vietqr.io/img/ABB.png" TargetMode="External"/><Relationship Id="rId49" Type="http://schemas.openxmlformats.org/officeDocument/2006/relationships/hyperlink" Target="https://cdn.vietqr.io/img/ABB.png" TargetMode="External"/><Relationship Id="rId57" Type="http://schemas.openxmlformats.org/officeDocument/2006/relationships/hyperlink" Target="https://cdn.vietqr.io/img/ABB.png" TargetMode="External"/><Relationship Id="rId10" Type="http://schemas.openxmlformats.org/officeDocument/2006/relationships/hyperlink" Target="https://cdn.vietqr.io/img/ABB.png" TargetMode="External"/><Relationship Id="rId31" Type="http://schemas.openxmlformats.org/officeDocument/2006/relationships/hyperlink" Target="https://cdn.vietqr.io/img/ABB.png" TargetMode="External"/><Relationship Id="rId44" Type="http://schemas.openxmlformats.org/officeDocument/2006/relationships/hyperlink" Target="https://cdn.vietqr.io/img/ABB.png" TargetMode="External"/><Relationship Id="rId52" Type="http://schemas.openxmlformats.org/officeDocument/2006/relationships/hyperlink" Target="https://cdn.vietqr.io/img/ABB.png" TargetMode="External"/><Relationship Id="rId60" Type="http://schemas.openxmlformats.org/officeDocument/2006/relationships/hyperlink" Target="https://cdn.vietqr.io/img/ABB.png" TargetMode="External"/><Relationship Id="rId65" Type="http://schemas.openxmlformats.org/officeDocument/2006/relationships/hyperlink" Target="https://cdn.vietqr.io/img/ABB.png" TargetMode="External"/><Relationship Id="rId73" Type="http://schemas.openxmlformats.org/officeDocument/2006/relationships/hyperlink" Target="https://cdn.vietqr.io/img/ABB.png" TargetMode="External"/><Relationship Id="rId78" Type="http://schemas.openxmlformats.org/officeDocument/2006/relationships/hyperlink" Target="https://cdn.vietqr.io/img/ABB.png" TargetMode="External"/><Relationship Id="rId81" Type="http://schemas.openxmlformats.org/officeDocument/2006/relationships/hyperlink" Target="https://cdn.vietqr.io/img/ABB.png" TargetMode="External"/><Relationship Id="rId86" Type="http://schemas.openxmlformats.org/officeDocument/2006/relationships/hyperlink" Target="https://cdn.vietqr.io/img/ABB.png" TargetMode="External"/><Relationship Id="rId94" Type="http://schemas.openxmlformats.org/officeDocument/2006/relationships/hyperlink" Target="https://cdn.vietqr.io/img/ABB.png" TargetMode="External"/><Relationship Id="rId99" Type="http://schemas.openxmlformats.org/officeDocument/2006/relationships/hyperlink" Target="https://cdn.vietqr.io/img/ABB.png" TargetMode="External"/><Relationship Id="rId4" Type="http://schemas.openxmlformats.org/officeDocument/2006/relationships/hyperlink" Target="https://cdn.vietqr.io/img/ABB.png" TargetMode="External"/><Relationship Id="rId9" Type="http://schemas.openxmlformats.org/officeDocument/2006/relationships/hyperlink" Target="https://cdn.vietqr.io/img/ABB.png" TargetMode="External"/><Relationship Id="rId13" Type="http://schemas.openxmlformats.org/officeDocument/2006/relationships/hyperlink" Target="https://cdn.vietqr.io/img/ABB.png" TargetMode="External"/><Relationship Id="rId18" Type="http://schemas.openxmlformats.org/officeDocument/2006/relationships/hyperlink" Target="https://cdn.vietqr.io/img/ABB.png" TargetMode="External"/><Relationship Id="rId39" Type="http://schemas.openxmlformats.org/officeDocument/2006/relationships/hyperlink" Target="https://cdn.vietqr.io/img/ABB.png" TargetMode="External"/><Relationship Id="rId34" Type="http://schemas.openxmlformats.org/officeDocument/2006/relationships/hyperlink" Target="https://cdn.vietqr.io/img/ABB.png" TargetMode="External"/><Relationship Id="rId50" Type="http://schemas.openxmlformats.org/officeDocument/2006/relationships/hyperlink" Target="https://cdn.vietqr.io/img/ABB.png" TargetMode="External"/><Relationship Id="rId55" Type="http://schemas.openxmlformats.org/officeDocument/2006/relationships/hyperlink" Target="https://cdn.vietqr.io/img/ABB.png" TargetMode="External"/><Relationship Id="rId76" Type="http://schemas.openxmlformats.org/officeDocument/2006/relationships/hyperlink" Target="https://cdn.vietqr.io/img/ABB.png" TargetMode="External"/><Relationship Id="rId97" Type="http://schemas.openxmlformats.org/officeDocument/2006/relationships/hyperlink" Target="https://cdn.vietqr.io/img/ABB.png" TargetMode="External"/><Relationship Id="rId7" Type="http://schemas.openxmlformats.org/officeDocument/2006/relationships/hyperlink" Target="https://cdn.vietqr.io/img/ABB.png" TargetMode="External"/><Relationship Id="rId71" Type="http://schemas.openxmlformats.org/officeDocument/2006/relationships/hyperlink" Target="https://cdn.vietqr.io/img/ABB.png" TargetMode="External"/><Relationship Id="rId92" Type="http://schemas.openxmlformats.org/officeDocument/2006/relationships/hyperlink" Target="https://cdn.vietqr.io/img/ABB.png" TargetMode="External"/><Relationship Id="rId2" Type="http://schemas.openxmlformats.org/officeDocument/2006/relationships/hyperlink" Target="https://cdn.vietqr.io/img/ABB.png" TargetMode="External"/><Relationship Id="rId29" Type="http://schemas.openxmlformats.org/officeDocument/2006/relationships/hyperlink" Target="https://cdn.vietqr.io/img/ABB.png" TargetMode="External"/><Relationship Id="rId24" Type="http://schemas.openxmlformats.org/officeDocument/2006/relationships/hyperlink" Target="https://cdn.vietqr.io/img/ABB.png" TargetMode="External"/><Relationship Id="rId40" Type="http://schemas.openxmlformats.org/officeDocument/2006/relationships/hyperlink" Target="https://cdn.vietqr.io/img/ABB.png" TargetMode="External"/><Relationship Id="rId45" Type="http://schemas.openxmlformats.org/officeDocument/2006/relationships/hyperlink" Target="https://cdn.vietqr.io/img/ABB.png" TargetMode="External"/><Relationship Id="rId66" Type="http://schemas.openxmlformats.org/officeDocument/2006/relationships/hyperlink" Target="https://cdn.vietqr.io/img/ABB.png" TargetMode="External"/><Relationship Id="rId87" Type="http://schemas.openxmlformats.org/officeDocument/2006/relationships/hyperlink" Target="https://cdn.vietqr.io/img/ABB.png" TargetMode="External"/><Relationship Id="rId61" Type="http://schemas.openxmlformats.org/officeDocument/2006/relationships/hyperlink" Target="https://cdn.vietqr.io/img/ABB.png" TargetMode="External"/><Relationship Id="rId82" Type="http://schemas.openxmlformats.org/officeDocument/2006/relationships/hyperlink" Target="https://cdn.vietqr.io/img/ABB.png" TargetMode="External"/><Relationship Id="rId19" Type="http://schemas.openxmlformats.org/officeDocument/2006/relationships/hyperlink" Target="https://cdn.vietqr.io/img/ABB.png" TargetMode="External"/><Relationship Id="rId14" Type="http://schemas.openxmlformats.org/officeDocument/2006/relationships/hyperlink" Target="https://cdn.vietqr.io/img/ABB.png" TargetMode="External"/><Relationship Id="rId30" Type="http://schemas.openxmlformats.org/officeDocument/2006/relationships/hyperlink" Target="https://cdn.vietqr.io/img/ABB.png" TargetMode="External"/><Relationship Id="rId35" Type="http://schemas.openxmlformats.org/officeDocument/2006/relationships/hyperlink" Target="https://cdn.vietqr.io/img/ABB.png" TargetMode="External"/><Relationship Id="rId56" Type="http://schemas.openxmlformats.org/officeDocument/2006/relationships/hyperlink" Target="https://cdn.vietqr.io/img/ABB.png" TargetMode="External"/><Relationship Id="rId77" Type="http://schemas.openxmlformats.org/officeDocument/2006/relationships/hyperlink" Target="https://cdn.vietqr.io/img/ABB.png" TargetMode="External"/><Relationship Id="rId100" Type="http://schemas.openxmlformats.org/officeDocument/2006/relationships/printerSettings" Target="../printerSettings/printerSettings1.bin"/><Relationship Id="rId8" Type="http://schemas.openxmlformats.org/officeDocument/2006/relationships/hyperlink" Target="https://cdn.vietqr.io/img/ABB.png" TargetMode="External"/><Relationship Id="rId51" Type="http://schemas.openxmlformats.org/officeDocument/2006/relationships/hyperlink" Target="https://cdn.vietqr.io/img/ABB.png" TargetMode="External"/><Relationship Id="rId72" Type="http://schemas.openxmlformats.org/officeDocument/2006/relationships/hyperlink" Target="https://cdn.vietqr.io/img/ABB.png" TargetMode="External"/><Relationship Id="rId93" Type="http://schemas.openxmlformats.org/officeDocument/2006/relationships/hyperlink" Target="https://cdn.vietqr.io/img/ABB.png" TargetMode="External"/><Relationship Id="rId98" Type="http://schemas.openxmlformats.org/officeDocument/2006/relationships/hyperlink" Target="https://cdn.vietqr.io/img/ABB.png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cdn.vietqr.io/img/OCB.png" TargetMode="External"/><Relationship Id="rId21" Type="http://schemas.openxmlformats.org/officeDocument/2006/relationships/hyperlink" Target="https://cdn.vietqr.io/img/MB.png" TargetMode="External"/><Relationship Id="rId34" Type="http://schemas.openxmlformats.org/officeDocument/2006/relationships/hyperlink" Target="https://cdn.vietqr.io/img/SGICB.png" TargetMode="External"/><Relationship Id="rId42" Type="http://schemas.openxmlformats.org/officeDocument/2006/relationships/hyperlink" Target="https://cdn.vietqr.io/img/VBA.png" TargetMode="External"/><Relationship Id="rId47" Type="http://schemas.openxmlformats.org/officeDocument/2006/relationships/hyperlink" Target="https://cdn.vietqr.io/img/VPB.png" TargetMode="External"/><Relationship Id="rId50" Type="http://schemas.openxmlformats.org/officeDocument/2006/relationships/hyperlink" Target="https://cdn.vietqr.io/img/KBHN.png" TargetMode="External"/><Relationship Id="rId55" Type="http://schemas.openxmlformats.org/officeDocument/2006/relationships/hyperlink" Target="https://cdn.vietqr.io/img/KBANK.png" TargetMode="External"/><Relationship Id="rId63" Type="http://schemas.openxmlformats.org/officeDocument/2006/relationships/hyperlink" Target="https://cdn.vietqr.io/img/VBSP.png" TargetMode="External"/><Relationship Id="rId7" Type="http://schemas.openxmlformats.org/officeDocument/2006/relationships/hyperlink" Target="https://cdn.vietqr.io/img/CIMB.png" TargetMode="External"/><Relationship Id="rId2" Type="http://schemas.openxmlformats.org/officeDocument/2006/relationships/hyperlink" Target="https://cdn.vietqr.io/img/ACB.png" TargetMode="External"/><Relationship Id="rId16" Type="http://schemas.openxmlformats.org/officeDocument/2006/relationships/hyperlink" Target="https://cdn.vietqr.io/img/IBK.png" TargetMode="External"/><Relationship Id="rId29" Type="http://schemas.openxmlformats.org/officeDocument/2006/relationships/hyperlink" Target="https://cdn.vietqr.io/img/PGB.png" TargetMode="External"/><Relationship Id="rId11" Type="http://schemas.openxmlformats.org/officeDocument/2006/relationships/hyperlink" Target="https://cdn.vietqr.io/img/GPB.png" TargetMode="External"/><Relationship Id="rId24" Type="http://schemas.openxmlformats.org/officeDocument/2006/relationships/hyperlink" Target="https://cdn.vietqr.io/img/NCB.png" TargetMode="External"/><Relationship Id="rId32" Type="http://schemas.openxmlformats.org/officeDocument/2006/relationships/hyperlink" Target="https://cdn.vietqr.io/img/SCVN.png" TargetMode="External"/><Relationship Id="rId37" Type="http://schemas.openxmlformats.org/officeDocument/2006/relationships/hyperlink" Target="https://cdn.vietqr.io/img/SHBVN.png" TargetMode="External"/><Relationship Id="rId40" Type="http://schemas.openxmlformats.org/officeDocument/2006/relationships/hyperlink" Target="https://cdn.vietqr.io/img/UOB.png" TargetMode="External"/><Relationship Id="rId45" Type="http://schemas.openxmlformats.org/officeDocument/2006/relationships/hyperlink" Target="https://cdn.vietqr.io/img/VIB.png" TargetMode="External"/><Relationship Id="rId53" Type="http://schemas.openxmlformats.org/officeDocument/2006/relationships/hyperlink" Target="https://cdn.vietqr.io/img/CAKE.png" TargetMode="External"/><Relationship Id="rId58" Type="http://schemas.openxmlformats.org/officeDocument/2006/relationships/hyperlink" Target="https://vietqr.net/portal-service/resources/icons/TIMO.png" TargetMode="External"/><Relationship Id="rId5" Type="http://schemas.openxmlformats.org/officeDocument/2006/relationships/hyperlink" Target="https://cdn.vietqr.io/img/BVB.png" TargetMode="External"/><Relationship Id="rId61" Type="http://schemas.openxmlformats.org/officeDocument/2006/relationships/hyperlink" Target="https://cdn.vietqr.io/img/KEBHANAHN.png" TargetMode="External"/><Relationship Id="rId19" Type="http://schemas.openxmlformats.org/officeDocument/2006/relationships/hyperlink" Target="https://cdn.vietqr.io/img/KLB.png" TargetMode="External"/><Relationship Id="rId14" Type="http://schemas.openxmlformats.org/officeDocument/2006/relationships/hyperlink" Target="https://cdn.vietqr.io/img/HSBC.png" TargetMode="External"/><Relationship Id="rId22" Type="http://schemas.openxmlformats.org/officeDocument/2006/relationships/hyperlink" Target="https://cdn.vietqr.io/img/MSB.png" TargetMode="External"/><Relationship Id="rId27" Type="http://schemas.openxmlformats.org/officeDocument/2006/relationships/hyperlink" Target="https://cdn.vietqr.io/img/MBV.png" TargetMode="External"/><Relationship Id="rId30" Type="http://schemas.openxmlformats.org/officeDocument/2006/relationships/hyperlink" Target="https://cdn.vietqr.io/img/PVCB.png" TargetMode="External"/><Relationship Id="rId35" Type="http://schemas.openxmlformats.org/officeDocument/2006/relationships/hyperlink" Target="https://cdn.vietqr.io/img/SHB.png" TargetMode="External"/><Relationship Id="rId43" Type="http://schemas.openxmlformats.org/officeDocument/2006/relationships/hyperlink" Target="https://cdn.vietqr.io/img/VCB.png" TargetMode="External"/><Relationship Id="rId48" Type="http://schemas.openxmlformats.org/officeDocument/2006/relationships/hyperlink" Target="https://cdn.vietqr.io/img/VRB.png" TargetMode="External"/><Relationship Id="rId56" Type="http://schemas.openxmlformats.org/officeDocument/2006/relationships/hyperlink" Target="https://cdn.vietqr.io/img/VNPTMONEY.png" TargetMode="External"/><Relationship Id="rId64" Type="http://schemas.openxmlformats.org/officeDocument/2006/relationships/hyperlink" Target="https://cdn.vietqr.io/img/PVCB.png" TargetMode="External"/><Relationship Id="rId8" Type="http://schemas.openxmlformats.org/officeDocument/2006/relationships/hyperlink" Target="https://cdn.vietqr.io/img/DBS.png" TargetMode="External"/><Relationship Id="rId51" Type="http://schemas.openxmlformats.org/officeDocument/2006/relationships/hyperlink" Target="https://cdn.vietqr.io/img/KBHCM.png" TargetMode="External"/><Relationship Id="rId3" Type="http://schemas.openxmlformats.org/officeDocument/2006/relationships/hyperlink" Target="https://cdn.vietqr.io/img/BAB.png" TargetMode="External"/><Relationship Id="rId12" Type="http://schemas.openxmlformats.org/officeDocument/2006/relationships/hyperlink" Target="https://cdn.vietqr.io/img/HDB.png" TargetMode="External"/><Relationship Id="rId17" Type="http://schemas.openxmlformats.org/officeDocument/2006/relationships/hyperlink" Target="https://cdn.vietqr.io/img/ICB.png" TargetMode="External"/><Relationship Id="rId25" Type="http://schemas.openxmlformats.org/officeDocument/2006/relationships/hyperlink" Target="https://cdn.vietqr.io/img/NHB.png" TargetMode="External"/><Relationship Id="rId33" Type="http://schemas.openxmlformats.org/officeDocument/2006/relationships/hyperlink" Target="https://cdn.vietqr.io/img/SEAB.png" TargetMode="External"/><Relationship Id="rId38" Type="http://schemas.openxmlformats.org/officeDocument/2006/relationships/hyperlink" Target="https://cdn.vietqr.io/img/TCB.png" TargetMode="External"/><Relationship Id="rId46" Type="http://schemas.openxmlformats.org/officeDocument/2006/relationships/hyperlink" Target="https://cdn.vietqr.io/img/VIETBANK.png" TargetMode="External"/><Relationship Id="rId59" Type="http://schemas.openxmlformats.org/officeDocument/2006/relationships/hyperlink" Target="https://cdn.vietqr.io/img/CITIBANK.png" TargetMode="External"/><Relationship Id="rId20" Type="http://schemas.openxmlformats.org/officeDocument/2006/relationships/hyperlink" Target="https://cdn.vietqr.io/img/LPB.png" TargetMode="External"/><Relationship Id="rId41" Type="http://schemas.openxmlformats.org/officeDocument/2006/relationships/hyperlink" Target="https://cdn.vietqr.io/img/VAB.png" TargetMode="External"/><Relationship Id="rId54" Type="http://schemas.openxmlformats.org/officeDocument/2006/relationships/hyperlink" Target="https://cdn.vietqr.io/img/UBANK.png" TargetMode="External"/><Relationship Id="rId62" Type="http://schemas.openxmlformats.org/officeDocument/2006/relationships/hyperlink" Target="https://cdn.vietqr.io/img/MAFC.png" TargetMode="External"/><Relationship Id="rId1" Type="http://schemas.openxmlformats.org/officeDocument/2006/relationships/hyperlink" Target="https://cdn.vietqr.io/img/ABB.png" TargetMode="External"/><Relationship Id="rId6" Type="http://schemas.openxmlformats.org/officeDocument/2006/relationships/hyperlink" Target="https://cdn.vietqr.io/img/CBB.png" TargetMode="External"/><Relationship Id="rId15" Type="http://schemas.openxmlformats.org/officeDocument/2006/relationships/hyperlink" Target="https://cdn.vietqr.io/img/IBK.png" TargetMode="External"/><Relationship Id="rId23" Type="http://schemas.openxmlformats.org/officeDocument/2006/relationships/hyperlink" Target="https://cdn.vietqr.io/img/NAB.png" TargetMode="External"/><Relationship Id="rId28" Type="http://schemas.openxmlformats.org/officeDocument/2006/relationships/hyperlink" Target="https://cdn.vietqr.io/img/PBVN.png" TargetMode="External"/><Relationship Id="rId36" Type="http://schemas.openxmlformats.org/officeDocument/2006/relationships/hyperlink" Target="https://cdn.vietqr.io/img/STB.png" TargetMode="External"/><Relationship Id="rId49" Type="http://schemas.openxmlformats.org/officeDocument/2006/relationships/hyperlink" Target="https://cdn.vietqr.io/img/WVN.png" TargetMode="External"/><Relationship Id="rId57" Type="http://schemas.openxmlformats.org/officeDocument/2006/relationships/hyperlink" Target="https://cdn.vietqr.io/img/VIETTELMONEY.png" TargetMode="External"/><Relationship Id="rId10" Type="http://schemas.openxmlformats.org/officeDocument/2006/relationships/hyperlink" Target="https://cdn.vietqr.io/img/EIB.png" TargetMode="External"/><Relationship Id="rId31" Type="http://schemas.openxmlformats.org/officeDocument/2006/relationships/hyperlink" Target="https://cdn.vietqr.io/img/SCB.png" TargetMode="External"/><Relationship Id="rId44" Type="http://schemas.openxmlformats.org/officeDocument/2006/relationships/hyperlink" Target="https://cdn.vietqr.io/img/VCCB.png" TargetMode="External"/><Relationship Id="rId52" Type="http://schemas.openxmlformats.org/officeDocument/2006/relationships/hyperlink" Target="https://cdn.vietqr.io/img/COOPBANK.png" TargetMode="External"/><Relationship Id="rId60" Type="http://schemas.openxmlformats.org/officeDocument/2006/relationships/hyperlink" Target="https://cdn.vietqr.io/img/KEBHANAHCM.png" TargetMode="External"/><Relationship Id="rId65" Type="http://schemas.openxmlformats.org/officeDocument/2006/relationships/hyperlink" Target="https://cdn.vietqr.io/img/momo.png" TargetMode="External"/><Relationship Id="rId4" Type="http://schemas.openxmlformats.org/officeDocument/2006/relationships/hyperlink" Target="https://cdn.vietqr.io/img/BIDV.png" TargetMode="External"/><Relationship Id="rId9" Type="http://schemas.openxmlformats.org/officeDocument/2006/relationships/hyperlink" Target="https://cdn.vietqr.io/img/Vikki.png" TargetMode="External"/><Relationship Id="rId13" Type="http://schemas.openxmlformats.org/officeDocument/2006/relationships/hyperlink" Target="https://cdn.vietqr.io/img/HLBVN.png" TargetMode="External"/><Relationship Id="rId18" Type="http://schemas.openxmlformats.org/officeDocument/2006/relationships/hyperlink" Target="https://cdn.vietqr.io/img/IVB.png" TargetMode="External"/><Relationship Id="rId39" Type="http://schemas.openxmlformats.org/officeDocument/2006/relationships/hyperlink" Target="https://cdn.vietqr.io/img/TPB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"/>
  <sheetViews>
    <sheetView tabSelected="1" workbookViewId="0">
      <selection activeCell="C12" sqref="C12"/>
    </sheetView>
  </sheetViews>
  <sheetFormatPr defaultRowHeight="15.6" x14ac:dyDescent="0.3"/>
  <cols>
    <col min="1" max="1" width="8.296875" bestFit="1" customWidth="1"/>
    <col min="2" max="3" width="11.8984375" bestFit="1" customWidth="1"/>
    <col min="4" max="4" width="19.19921875" bestFit="1" customWidth="1"/>
    <col min="5" max="5" width="12.3984375" bestFit="1" customWidth="1"/>
    <col min="6" max="6" width="10.69921875" bestFit="1" customWidth="1"/>
    <col min="7" max="7" width="9.3984375" bestFit="1" customWidth="1"/>
    <col min="8" max="8" width="16.09765625" bestFit="1" customWidth="1"/>
    <col min="9" max="9" width="32" bestFit="1" customWidth="1"/>
    <col min="10" max="10" width="16.89843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>
        <v>38</v>
      </c>
      <c r="B2" t="s">
        <v>258</v>
      </c>
      <c r="C2" s="2" t="s">
        <v>254</v>
      </c>
      <c r="D2" t="s">
        <v>10</v>
      </c>
      <c r="E2" t="str">
        <f>IFERROR((VLOOKUP(A2,'API - io'!$A:$H,5,0)),"-")</f>
        <v>Techcombank</v>
      </c>
      <c r="F2" t="str">
        <f>IFERROR((VLOOKUP(A2,'API - io'!$A:$H,3,0)),"-")</f>
        <v>TCB</v>
      </c>
      <c r="G2">
        <f>IFERROR((VLOOKUP(A2,'API - io'!$A:$G,4,0)),"-")</f>
        <v>970407</v>
      </c>
      <c r="H2" t="str">
        <f>IFERROR((VLOOKUP(A2,'API - io'!$A:$G,5,0)),"-")</f>
        <v>Techcombank</v>
      </c>
      <c r="I2" t="str">
        <f>IFERROR((VLOOKUP(A2,'API - io'!$A:$G,6,0)),"-")</f>
        <v>https://cdn.vietqr.io/img/TCB.png</v>
      </c>
      <c r="J2" t="str">
        <f>IFERROR((VLOOKUP(A2,'API - io'!$A:$G,7,0)),"-")</f>
        <v>Techcombank</v>
      </c>
    </row>
    <row r="3" spans="1:10" x14ac:dyDescent="0.3">
      <c r="A3">
        <v>43</v>
      </c>
      <c r="B3" t="s">
        <v>174</v>
      </c>
      <c r="C3" s="3">
        <v>1031451081</v>
      </c>
      <c r="D3" t="s">
        <v>10</v>
      </c>
      <c r="E3" t="str">
        <f>IFERROR((VLOOKUP(A3,'API - io'!$A:$H,5,0)),"-")</f>
        <v>Vietcombank</v>
      </c>
      <c r="F3" t="str">
        <f>IFERROR((VLOOKUP(A3,'API - io'!$A:$H,3,0)),"-")</f>
        <v>VCB</v>
      </c>
      <c r="G3">
        <f>IFERROR((VLOOKUP(A3,'API - io'!$A:$G,4,0)),"-")</f>
        <v>970436</v>
      </c>
      <c r="H3" t="str">
        <f>IFERROR((VLOOKUP(A3,'API - io'!$A:$G,5,0)),"-")</f>
        <v>Vietcombank</v>
      </c>
      <c r="I3" t="str">
        <f>IFERROR((VLOOKUP(A3,'API - io'!$A:$G,6,0)),"-")</f>
        <v>https://cdn.vietqr.io/img/VCB.png</v>
      </c>
      <c r="J3" t="str">
        <f>IFERROR((VLOOKUP(A3,'API - io'!$A:$G,7,0)),"-")</f>
        <v>Vietcombank</v>
      </c>
    </row>
    <row r="4" spans="1:10" x14ac:dyDescent="0.3">
      <c r="A4">
        <v>38</v>
      </c>
      <c r="B4" t="s">
        <v>259</v>
      </c>
      <c r="C4" s="4">
        <v>44699999999</v>
      </c>
      <c r="D4" t="s">
        <v>10</v>
      </c>
      <c r="E4" t="str">
        <f>IFERROR((VLOOKUP(A4,'API - io'!$A:$H,5,0)),"-")</f>
        <v>Techcombank</v>
      </c>
      <c r="F4" t="str">
        <f>IFERROR((VLOOKUP(A4,'API - io'!$A:$H,3,0)),"-")</f>
        <v>TCB</v>
      </c>
      <c r="G4">
        <f>IFERROR((VLOOKUP(A4,'API - io'!$A:$G,4,0)),"-")</f>
        <v>970407</v>
      </c>
      <c r="H4" t="str">
        <f>IFERROR((VLOOKUP(A4,'API - io'!$A:$G,5,0)),"-")</f>
        <v>Techcombank</v>
      </c>
      <c r="I4" t="str">
        <f>IFERROR((VLOOKUP(A4,'API - io'!$A:$G,6,0)),"-")</f>
        <v>https://cdn.vietqr.io/img/TCB.png</v>
      </c>
      <c r="J4" t="str">
        <f>IFERROR((VLOOKUP(A4,'API - io'!$A:$G,7,0)),"-")</f>
        <v>Techcombank</v>
      </c>
    </row>
    <row r="5" spans="1:10" x14ac:dyDescent="0.3">
      <c r="A5">
        <v>45</v>
      </c>
      <c r="B5" t="s">
        <v>260</v>
      </c>
      <c r="C5" s="2" t="s">
        <v>255</v>
      </c>
      <c r="D5" t="s">
        <v>10</v>
      </c>
      <c r="E5" t="str">
        <f>IFERROR((VLOOKUP(A5,'API - io'!$A:$H,5,0)),"-")</f>
        <v>VIB</v>
      </c>
      <c r="F5" t="str">
        <f>IFERROR((VLOOKUP(A5,'API - io'!$A:$H,3,0)),"-")</f>
        <v>VIB</v>
      </c>
      <c r="G5">
        <f>IFERROR((VLOOKUP(A5,'API - io'!$A:$G,4,0)),"-")</f>
        <v>970441</v>
      </c>
      <c r="H5" t="str">
        <f>IFERROR((VLOOKUP(A5,'API - io'!$A:$G,5,0)),"-")</f>
        <v>VIB</v>
      </c>
      <c r="I5" t="str">
        <f>IFERROR((VLOOKUP(A5,'API - io'!$A:$G,6,0)),"-")</f>
        <v>https://cdn.vietqr.io/img/VIB.png</v>
      </c>
      <c r="J5" t="str">
        <f>IFERROR((VLOOKUP(A5,'API - io'!$A:$G,7,0)),"-")</f>
        <v>VIB</v>
      </c>
    </row>
    <row r="6" spans="1:10" x14ac:dyDescent="0.3">
      <c r="A6">
        <v>45</v>
      </c>
      <c r="B6" t="s">
        <v>261</v>
      </c>
      <c r="C6" s="2" t="s">
        <v>256</v>
      </c>
      <c r="D6" t="s">
        <v>10</v>
      </c>
      <c r="E6" t="str">
        <f>IFERROR((VLOOKUP(A6,'API - io'!$A:$H,5,0)),"-")</f>
        <v>VIB</v>
      </c>
      <c r="F6" t="str">
        <f>IFERROR((VLOOKUP(A6,'API - io'!$A:$H,3,0)),"-")</f>
        <v>VIB</v>
      </c>
      <c r="G6">
        <f>IFERROR((VLOOKUP(A6,'API - io'!$A:$G,4,0)),"-")</f>
        <v>970441</v>
      </c>
      <c r="H6" t="str">
        <f>IFERROR((VLOOKUP(A6,'API - io'!$A:$G,5,0)),"-")</f>
        <v>VIB</v>
      </c>
      <c r="I6" t="str">
        <f>IFERROR((VLOOKUP(A6,'API - io'!$A:$G,6,0)),"-")</f>
        <v>https://cdn.vietqr.io/img/VIB.png</v>
      </c>
      <c r="J6" t="str">
        <f>IFERROR((VLOOKUP(A6,'API - io'!$A:$G,7,0)),"-")</f>
        <v>VIB</v>
      </c>
    </row>
    <row r="7" spans="1:10" x14ac:dyDescent="0.3">
      <c r="C7" s="2"/>
      <c r="E7" t="str">
        <f>IFERROR((VLOOKUP(A7,'API - io'!$A:$H,5,0)),"-")</f>
        <v>-</v>
      </c>
      <c r="F7" t="str">
        <f>IFERROR((VLOOKUP(A7,'API - io'!$A:$H,3,0)),"-")</f>
        <v>-</v>
      </c>
      <c r="G7" t="str">
        <f>IFERROR((VLOOKUP(A7,'API - io'!$A:$G,4,0)),"-")</f>
        <v>-</v>
      </c>
      <c r="H7" t="str">
        <f>IFERROR((VLOOKUP(A7,'API - io'!$A:$G,5,0)),"-")</f>
        <v>-</v>
      </c>
      <c r="I7" t="str">
        <f>IFERROR((VLOOKUP(A7,'API - io'!$A:$G,6,0)),"-")</f>
        <v>-</v>
      </c>
      <c r="J7" t="str">
        <f>IFERROR((VLOOKUP(A7,'API - io'!$A:$G,7,0)),"-")</f>
        <v>-</v>
      </c>
    </row>
    <row r="8" spans="1:10" x14ac:dyDescent="0.3">
      <c r="A8">
        <v>21</v>
      </c>
      <c r="B8" t="s">
        <v>263</v>
      </c>
      <c r="C8" s="2" t="s">
        <v>264</v>
      </c>
      <c r="D8" t="s">
        <v>10</v>
      </c>
      <c r="E8" t="str">
        <f>IFERROR((VLOOKUP(A8,'API - io'!$A:$H,5,0)),"-")</f>
        <v>MBBank</v>
      </c>
      <c r="F8" t="str">
        <f>IFERROR((VLOOKUP(A8,'API - io'!$A:$H,3,0)),"-")</f>
        <v>MB</v>
      </c>
      <c r="G8">
        <f>IFERROR((VLOOKUP(A8,'API - io'!$A:$G,4,0)),"-")</f>
        <v>970422</v>
      </c>
      <c r="H8" t="str">
        <f>IFERROR((VLOOKUP(A8,'API - io'!$A:$G,5,0)),"-")</f>
        <v>MBBank</v>
      </c>
      <c r="I8" t="str">
        <f>IFERROR((VLOOKUP(A8,'API - io'!$A:$G,6,0)),"-")</f>
        <v>https://cdn.vietqr.io/img/MB.png</v>
      </c>
      <c r="J8" t="str">
        <f>IFERROR((VLOOKUP(A8,'API - io'!$A:$G,7,0)),"-")</f>
        <v>MBBank</v>
      </c>
    </row>
    <row r="9" spans="1:10" x14ac:dyDescent="0.3">
      <c r="C9" s="4"/>
      <c r="E9" t="str">
        <f>IFERROR((VLOOKUP(A9,'API - io'!$A:$H,5,0)),"-")</f>
        <v>-</v>
      </c>
      <c r="F9" t="str">
        <f>IFERROR((VLOOKUP(A9,'API - io'!$A:$H,3,0)),"-")</f>
        <v>-</v>
      </c>
      <c r="G9" t="str">
        <f>IFERROR((VLOOKUP(A9,'API - io'!$A:$G,4,0)),"-")</f>
        <v>-</v>
      </c>
      <c r="H9" t="str">
        <f>IFERROR((VLOOKUP(A9,'API - io'!$A:$G,5,0)),"-")</f>
        <v>-</v>
      </c>
      <c r="I9" t="str">
        <f>IFERROR((VLOOKUP(A9,'API - io'!$A:$G,6,0)),"-")</f>
        <v>-</v>
      </c>
      <c r="J9" t="str">
        <f>IFERROR((VLOOKUP(A9,'API - io'!$A:$G,7,0)),"-")</f>
        <v>-</v>
      </c>
    </row>
    <row r="10" spans="1:10" x14ac:dyDescent="0.3">
      <c r="C10" s="4"/>
      <c r="E10" t="str">
        <f>IFERROR((VLOOKUP(A10,'API - io'!$A:$H,5,0)),"-")</f>
        <v>-</v>
      </c>
      <c r="F10" t="str">
        <f>IFERROR((VLOOKUP(A10,'API - io'!$A:$H,3,0)),"-")</f>
        <v>-</v>
      </c>
      <c r="G10" t="str">
        <f>IFERROR((VLOOKUP(A10,'API - io'!$A:$G,4,0)),"-")</f>
        <v>-</v>
      </c>
      <c r="H10" t="str">
        <f>IFERROR((VLOOKUP(A10,'API - io'!$A:$G,5,0)),"-")</f>
        <v>-</v>
      </c>
      <c r="I10" t="str">
        <f>IFERROR((VLOOKUP(A10,'API - io'!$A:$G,6,0)),"-")</f>
        <v>-</v>
      </c>
      <c r="J10" t="str">
        <f>IFERROR((VLOOKUP(A10,'API - io'!$A:$G,7,0)),"-")</f>
        <v>-</v>
      </c>
    </row>
    <row r="11" spans="1:10" x14ac:dyDescent="0.3">
      <c r="A11">
        <v>17</v>
      </c>
      <c r="B11" t="s">
        <v>265</v>
      </c>
      <c r="C11" s="2" t="s">
        <v>266</v>
      </c>
      <c r="D11" t="s">
        <v>262</v>
      </c>
      <c r="E11" t="str">
        <f>IFERROR((VLOOKUP(A11,'API - io'!$A:$H,5,0)),"-")</f>
        <v>VietinBank</v>
      </c>
      <c r="F11" t="str">
        <f>IFERROR((VLOOKUP(A11,'API - io'!$A:$H,3,0)),"-")</f>
        <v>ICB</v>
      </c>
      <c r="G11">
        <f>IFERROR((VLOOKUP(A11,'API - io'!$A:$G,4,0)),"-")</f>
        <v>970415</v>
      </c>
      <c r="H11" t="str">
        <f>IFERROR((VLOOKUP(A11,'API - io'!$A:$G,5,0)),"-")</f>
        <v>VietinBank</v>
      </c>
      <c r="I11" t="str">
        <f>IFERROR((VLOOKUP(A11,'API - io'!$A:$G,6,0)),"-")</f>
        <v>https://cdn.vietqr.io/img/ICB.png</v>
      </c>
      <c r="J11" t="str">
        <f>IFERROR((VLOOKUP(A11,'API - io'!$A:$G,7,0)),"-")</f>
        <v>VietinBank</v>
      </c>
    </row>
    <row r="12" spans="1:10" x14ac:dyDescent="0.3">
      <c r="C12" s="1"/>
      <c r="E12" t="str">
        <f>IFERROR((VLOOKUP(A12,'API - io'!$A:$H,5,0)),"-")</f>
        <v>-</v>
      </c>
      <c r="F12" t="str">
        <f>IFERROR((VLOOKUP(A12,'API - io'!$A:$H,3,0)),"-")</f>
        <v>-</v>
      </c>
      <c r="G12" t="str">
        <f>IFERROR((VLOOKUP(A12,'API - io'!$A:$G,4,0)),"-")</f>
        <v>-</v>
      </c>
      <c r="H12" t="str">
        <f>IFERROR((VLOOKUP(A12,'API - io'!$A:$G,5,0)),"-")</f>
        <v>-</v>
      </c>
      <c r="I12" t="str">
        <f>IFERROR((VLOOKUP(A12,'API - io'!$A:$G,6,0)),"-")</f>
        <v>-</v>
      </c>
      <c r="J12" t="str">
        <f>IFERROR((VLOOKUP(A12,'API - io'!$A:$G,7,0)),"-")</f>
        <v>-</v>
      </c>
    </row>
    <row r="13" spans="1:10" x14ac:dyDescent="0.3">
      <c r="C13" s="1"/>
      <c r="E13" t="str">
        <f>IFERROR((VLOOKUP(A13,'API - io'!$A:$H,5,0)),"-")</f>
        <v>-</v>
      </c>
      <c r="F13" t="str">
        <f>IFERROR((VLOOKUP(A13,'API - io'!$A:$H,3,0)),"-")</f>
        <v>-</v>
      </c>
      <c r="G13" t="str">
        <f>IFERROR((VLOOKUP(A13,'API - io'!$A:$G,4,0)),"-")</f>
        <v>-</v>
      </c>
      <c r="H13" t="str">
        <f>IFERROR((VLOOKUP(A13,'API - io'!$A:$G,5,0)),"-")</f>
        <v>-</v>
      </c>
      <c r="I13" t="str">
        <f>IFERROR((VLOOKUP(A13,'API - io'!$A:$G,6,0)),"-")</f>
        <v>-</v>
      </c>
      <c r="J13" t="str">
        <f>IFERROR((VLOOKUP(A13,'API - io'!$A:$G,7,0)),"-")</f>
        <v>-</v>
      </c>
    </row>
    <row r="14" spans="1:10" x14ac:dyDescent="0.3">
      <c r="C14" s="1"/>
      <c r="E14" t="str">
        <f>IFERROR((VLOOKUP(A14,'API - io'!$A:$H,5,0)),"-")</f>
        <v>-</v>
      </c>
      <c r="F14" t="str">
        <f>IFERROR((VLOOKUP(A14,'API - io'!$A:$H,3,0)),"-")</f>
        <v>-</v>
      </c>
      <c r="G14" t="str">
        <f>IFERROR((VLOOKUP(A14,'API - io'!$A:$G,4,0)),"-")</f>
        <v>-</v>
      </c>
      <c r="H14" t="str">
        <f>IFERROR((VLOOKUP(A14,'API - io'!$A:$G,5,0)),"-")</f>
        <v>-</v>
      </c>
      <c r="I14" t="str">
        <f>IFERROR((VLOOKUP(A14,'API - io'!$A:$G,6,0)),"-")</f>
        <v>-</v>
      </c>
      <c r="J14" t="str">
        <f>IFERROR((VLOOKUP(A14,'API - io'!$A:$G,7,0)),"-")</f>
        <v>-</v>
      </c>
    </row>
    <row r="15" spans="1:10" x14ac:dyDescent="0.3">
      <c r="C15" s="1"/>
      <c r="E15" t="str">
        <f>IFERROR((VLOOKUP(A15,'API - io'!$A:$H,5,0)),"-")</f>
        <v>-</v>
      </c>
      <c r="F15" t="str">
        <f>IFERROR((VLOOKUP(A15,'API - io'!$A:$H,3,0)),"-")</f>
        <v>-</v>
      </c>
      <c r="G15" t="str">
        <f>IFERROR((VLOOKUP(A15,'API - io'!$A:$G,4,0)),"-")</f>
        <v>-</v>
      </c>
      <c r="H15" t="str">
        <f>IFERROR((VLOOKUP(A15,'API - io'!$A:$G,5,0)),"-")</f>
        <v>-</v>
      </c>
      <c r="I15" t="str">
        <f>IFERROR((VLOOKUP(A15,'API - io'!$A:$G,6,0)),"-")</f>
        <v>-</v>
      </c>
      <c r="J15" t="str">
        <f>IFERROR((VLOOKUP(A15,'API - io'!$A:$G,7,0)),"-")</f>
        <v>-</v>
      </c>
    </row>
    <row r="16" spans="1:10" x14ac:dyDescent="0.3">
      <c r="C16" s="1"/>
      <c r="E16" t="str">
        <f>IFERROR((VLOOKUP(A16,'API - io'!$A:$H,5,0)),"-")</f>
        <v>-</v>
      </c>
      <c r="F16" t="str">
        <f>IFERROR((VLOOKUP(A16,'API - io'!$A:$H,3,0)),"-")</f>
        <v>-</v>
      </c>
      <c r="G16" t="str">
        <f>IFERROR((VLOOKUP(A16,'API - io'!$A:$G,4,0)),"-")</f>
        <v>-</v>
      </c>
      <c r="H16" t="str">
        <f>IFERROR((VLOOKUP(A16,'API - io'!$A:$G,5,0)),"-")</f>
        <v>-</v>
      </c>
      <c r="I16" t="str">
        <f>IFERROR((VLOOKUP(A16,'API - io'!$A:$G,6,0)),"-")</f>
        <v>-</v>
      </c>
      <c r="J16" t="str">
        <f>IFERROR((VLOOKUP(A16,'API - io'!$A:$G,7,0)),"-")</f>
        <v>-</v>
      </c>
    </row>
    <row r="17" spans="3:10" x14ac:dyDescent="0.3">
      <c r="C17" s="1"/>
      <c r="E17" t="str">
        <f>IFERROR((VLOOKUP(A17,'API - io'!$A:$H,5,0)),"-")</f>
        <v>-</v>
      </c>
      <c r="F17" t="str">
        <f>IFERROR((VLOOKUP(A17,'API - io'!$A:$H,3,0)),"-")</f>
        <v>-</v>
      </c>
      <c r="G17" t="str">
        <f>IFERROR((VLOOKUP(A17,'API - io'!$A:$G,4,0)),"-")</f>
        <v>-</v>
      </c>
      <c r="H17" t="str">
        <f>IFERROR((VLOOKUP(A17,'API - io'!$A:$G,5,0)),"-")</f>
        <v>-</v>
      </c>
      <c r="I17" t="str">
        <f>IFERROR((VLOOKUP(A17,'API - io'!$A:$G,6,0)),"-")</f>
        <v>-</v>
      </c>
      <c r="J17" t="str">
        <f>IFERROR((VLOOKUP(A17,'API - io'!$A:$G,7,0)),"-")</f>
        <v>-</v>
      </c>
    </row>
    <row r="18" spans="3:10" x14ac:dyDescent="0.3">
      <c r="C18" s="1"/>
      <c r="E18" t="str">
        <f>IFERROR((VLOOKUP(A18,'API - io'!$A:$H,5,0)),"-")</f>
        <v>-</v>
      </c>
      <c r="F18" t="str">
        <f>IFERROR((VLOOKUP(A18,'API - io'!$A:$H,3,0)),"-")</f>
        <v>-</v>
      </c>
      <c r="G18" t="str">
        <f>IFERROR((VLOOKUP(A18,'API - io'!$A:$G,4,0)),"-")</f>
        <v>-</v>
      </c>
      <c r="H18" t="str">
        <f>IFERROR((VLOOKUP(A18,'API - io'!$A:$G,5,0)),"-")</f>
        <v>-</v>
      </c>
      <c r="I18" t="str">
        <f>IFERROR((VLOOKUP(A18,'API - io'!$A:$G,6,0)),"-")</f>
        <v>-</v>
      </c>
      <c r="J18" t="str">
        <f>IFERROR((VLOOKUP(A18,'API - io'!$A:$G,7,0)),"-")</f>
        <v>-</v>
      </c>
    </row>
    <row r="19" spans="3:10" x14ac:dyDescent="0.3">
      <c r="C19" s="1"/>
      <c r="E19" t="str">
        <f>IFERROR((VLOOKUP(A19,'API - io'!$A:$H,5,0)),"-")</f>
        <v>-</v>
      </c>
      <c r="F19" t="str">
        <f>IFERROR((VLOOKUP(A19,'API - io'!$A:$H,3,0)),"-")</f>
        <v>-</v>
      </c>
      <c r="G19" t="str">
        <f>IFERROR((VLOOKUP(A19,'API - io'!$A:$G,4,0)),"-")</f>
        <v>-</v>
      </c>
      <c r="H19" t="str">
        <f>IFERROR((VLOOKUP(A19,'API - io'!$A:$G,5,0)),"-")</f>
        <v>-</v>
      </c>
      <c r="I19" t="str">
        <f>IFERROR((VLOOKUP(A19,'API - io'!$A:$G,6,0)),"-")</f>
        <v>-</v>
      </c>
      <c r="J19" t="str">
        <f>IFERROR((VLOOKUP(A19,'API - io'!$A:$G,7,0)),"-")</f>
        <v>-</v>
      </c>
    </row>
    <row r="20" spans="3:10" x14ac:dyDescent="0.3">
      <c r="C20" s="1"/>
      <c r="E20" t="str">
        <f>IFERROR((VLOOKUP(A20,'API - io'!$A:$H,5,0)),"-")</f>
        <v>-</v>
      </c>
      <c r="F20" t="str">
        <f>IFERROR((VLOOKUP(A20,'API - io'!$A:$H,3,0)),"-")</f>
        <v>-</v>
      </c>
      <c r="G20" t="str">
        <f>IFERROR((VLOOKUP(A20,'API - io'!$A:$G,4,0)),"-")</f>
        <v>-</v>
      </c>
      <c r="H20" t="str">
        <f>IFERROR((VLOOKUP(A20,'API - io'!$A:$G,5,0)),"-")</f>
        <v>-</v>
      </c>
      <c r="I20" t="str">
        <f>IFERROR((VLOOKUP(A20,'API - io'!$A:$G,6,0)),"-")</f>
        <v>-</v>
      </c>
      <c r="J20" t="str">
        <f>IFERROR((VLOOKUP(A20,'API - io'!$A:$G,7,0)),"-")</f>
        <v>-</v>
      </c>
    </row>
    <row r="21" spans="3:10" x14ac:dyDescent="0.3">
      <c r="C21" s="1"/>
      <c r="E21" t="str">
        <f>IFERROR((VLOOKUP(A21,'API - io'!$A:$H,5,0)),"-")</f>
        <v>-</v>
      </c>
      <c r="F21" t="str">
        <f>IFERROR((VLOOKUP(A21,'API - io'!$A:$H,3,0)),"-")</f>
        <v>-</v>
      </c>
      <c r="G21" t="str">
        <f>IFERROR((VLOOKUP(A21,'API - io'!$A:$G,4,0)),"-")</f>
        <v>-</v>
      </c>
      <c r="H21" t="str">
        <f>IFERROR((VLOOKUP(A21,'API - io'!$A:$G,5,0)),"-")</f>
        <v>-</v>
      </c>
      <c r="I21" t="str">
        <f>IFERROR((VLOOKUP(A21,'API - io'!$A:$G,6,0)),"-")</f>
        <v>-</v>
      </c>
      <c r="J21" t="str">
        <f>IFERROR((VLOOKUP(A21,'API - io'!$A:$G,7,0)),"-")</f>
        <v>-</v>
      </c>
    </row>
    <row r="22" spans="3:10" x14ac:dyDescent="0.3">
      <c r="C22" s="1"/>
      <c r="E22" t="str">
        <f>IFERROR((VLOOKUP(A22,'API - io'!$A:$H,5,0)),"-")</f>
        <v>-</v>
      </c>
      <c r="F22" t="str">
        <f>IFERROR((VLOOKUP(A22,'API - io'!$A:$H,3,0)),"-")</f>
        <v>-</v>
      </c>
      <c r="G22" t="str">
        <f>IFERROR((VLOOKUP(A22,'API - io'!$A:$G,4,0)),"-")</f>
        <v>-</v>
      </c>
      <c r="H22" t="str">
        <f>IFERROR((VLOOKUP(A22,'API - io'!$A:$G,5,0)),"-")</f>
        <v>-</v>
      </c>
      <c r="I22" t="str">
        <f>IFERROR((VLOOKUP(A22,'API - io'!$A:$G,6,0)),"-")</f>
        <v>-</v>
      </c>
      <c r="J22" t="str">
        <f>IFERROR((VLOOKUP(A22,'API - io'!$A:$G,7,0)),"-")</f>
        <v>-</v>
      </c>
    </row>
    <row r="23" spans="3:10" x14ac:dyDescent="0.3">
      <c r="C23" s="1"/>
      <c r="E23" t="str">
        <f>IFERROR((VLOOKUP(A23,'API - io'!$A:$H,5,0)),"-")</f>
        <v>-</v>
      </c>
      <c r="F23" t="str">
        <f>IFERROR((VLOOKUP(A23,'API - io'!$A:$H,3,0)),"-")</f>
        <v>-</v>
      </c>
      <c r="G23" t="str">
        <f>IFERROR((VLOOKUP(A23,'API - io'!$A:$G,4,0)),"-")</f>
        <v>-</v>
      </c>
      <c r="H23" t="str">
        <f>IFERROR((VLOOKUP(A23,'API - io'!$A:$G,5,0)),"-")</f>
        <v>-</v>
      </c>
      <c r="I23" t="str">
        <f>IFERROR((VLOOKUP(A23,'API - io'!$A:$G,6,0)),"-")</f>
        <v>-</v>
      </c>
      <c r="J23" t="str">
        <f>IFERROR((VLOOKUP(A23,'API - io'!$A:$G,7,0)),"-")</f>
        <v>-</v>
      </c>
    </row>
    <row r="24" spans="3:10" x14ac:dyDescent="0.3">
      <c r="C24" s="1"/>
      <c r="E24" t="str">
        <f>IFERROR((VLOOKUP(A24,'API - io'!$A:$H,5,0)),"-")</f>
        <v>-</v>
      </c>
      <c r="F24" t="str">
        <f>IFERROR((VLOOKUP(A24,'API - io'!$A:$H,3,0)),"-")</f>
        <v>-</v>
      </c>
      <c r="G24" t="str">
        <f>IFERROR((VLOOKUP(A24,'API - io'!$A:$G,4,0)),"-")</f>
        <v>-</v>
      </c>
      <c r="H24" t="str">
        <f>IFERROR((VLOOKUP(A24,'API - io'!$A:$G,5,0)),"-")</f>
        <v>-</v>
      </c>
      <c r="I24" t="str">
        <f>IFERROR((VLOOKUP(A24,'API - io'!$A:$G,6,0)),"-")</f>
        <v>-</v>
      </c>
      <c r="J24" t="str">
        <f>IFERROR((VLOOKUP(A24,'API - io'!$A:$G,7,0)),"-")</f>
        <v>-</v>
      </c>
    </row>
    <row r="25" spans="3:10" x14ac:dyDescent="0.3">
      <c r="C25" s="1"/>
      <c r="E25" t="str">
        <f>IFERROR((VLOOKUP(A25,'API - io'!$A:$H,5,0)),"-")</f>
        <v>-</v>
      </c>
      <c r="F25" t="str">
        <f>IFERROR((VLOOKUP(A25,'API - io'!$A:$H,3,0)),"-")</f>
        <v>-</v>
      </c>
      <c r="G25" t="str">
        <f>IFERROR((VLOOKUP(A25,'API - io'!$A:$G,4,0)),"-")</f>
        <v>-</v>
      </c>
      <c r="H25" t="str">
        <f>IFERROR((VLOOKUP(A25,'API - io'!$A:$G,5,0)),"-")</f>
        <v>-</v>
      </c>
      <c r="I25" t="str">
        <f>IFERROR((VLOOKUP(A25,'API - io'!$A:$G,6,0)),"-")</f>
        <v>-</v>
      </c>
      <c r="J25" t="str">
        <f>IFERROR((VLOOKUP(A25,'API - io'!$A:$G,7,0)),"-")</f>
        <v>-</v>
      </c>
    </row>
    <row r="26" spans="3:10" x14ac:dyDescent="0.3">
      <c r="C26" s="1"/>
      <c r="E26" t="str">
        <f>IFERROR((VLOOKUP(A26,'API - io'!$A:$H,5,0)),"-")</f>
        <v>-</v>
      </c>
      <c r="F26" t="str">
        <f>IFERROR((VLOOKUP(A26,'API - io'!$A:$H,3,0)),"-")</f>
        <v>-</v>
      </c>
      <c r="G26" t="str">
        <f>IFERROR((VLOOKUP(A26,'API - io'!$A:$G,4,0)),"-")</f>
        <v>-</v>
      </c>
      <c r="H26" t="str">
        <f>IFERROR((VLOOKUP(A26,'API - io'!$A:$G,5,0)),"-")</f>
        <v>-</v>
      </c>
      <c r="I26" t="str">
        <f>IFERROR((VLOOKUP(A26,'API - io'!$A:$G,6,0)),"-")</f>
        <v>-</v>
      </c>
      <c r="J26" t="str">
        <f>IFERROR((VLOOKUP(A26,'API - io'!$A:$G,7,0)),"-")</f>
        <v>-</v>
      </c>
    </row>
    <row r="27" spans="3:10" x14ac:dyDescent="0.3">
      <c r="C27" s="1"/>
      <c r="E27" t="str">
        <f>IFERROR((VLOOKUP(A27,'API - io'!$A:$H,5,0)),"-")</f>
        <v>-</v>
      </c>
      <c r="F27" t="str">
        <f>IFERROR((VLOOKUP(A27,'API - io'!$A:$H,3,0)),"-")</f>
        <v>-</v>
      </c>
      <c r="G27" t="str">
        <f>IFERROR((VLOOKUP(A27,'API - io'!$A:$G,4,0)),"-")</f>
        <v>-</v>
      </c>
      <c r="H27" t="str">
        <f>IFERROR((VLOOKUP(A27,'API - io'!$A:$G,5,0)),"-")</f>
        <v>-</v>
      </c>
      <c r="I27" t="str">
        <f>IFERROR((VLOOKUP(A27,'API - io'!$A:$G,6,0)),"-")</f>
        <v>-</v>
      </c>
      <c r="J27" t="str">
        <f>IFERROR((VLOOKUP(A27,'API - io'!$A:$G,7,0)),"-")</f>
        <v>-</v>
      </c>
    </row>
    <row r="28" spans="3:10" x14ac:dyDescent="0.3">
      <c r="C28" s="1"/>
      <c r="E28" t="str">
        <f>IFERROR((VLOOKUP(A28,'API - io'!$A:$H,5,0)),"-")</f>
        <v>-</v>
      </c>
      <c r="F28" t="str">
        <f>IFERROR((VLOOKUP(A28,'API - io'!$A:$H,3,0)),"-")</f>
        <v>-</v>
      </c>
      <c r="G28" t="str">
        <f>IFERROR((VLOOKUP(A28,'API - io'!$A:$G,4,0)),"-")</f>
        <v>-</v>
      </c>
      <c r="H28" t="str">
        <f>IFERROR((VLOOKUP(A28,'API - io'!$A:$G,5,0)),"-")</f>
        <v>-</v>
      </c>
      <c r="I28" t="str">
        <f>IFERROR((VLOOKUP(A28,'API - io'!$A:$G,6,0)),"-")</f>
        <v>-</v>
      </c>
      <c r="J28" t="str">
        <f>IFERROR((VLOOKUP(A28,'API - io'!$A:$G,7,0)),"-")</f>
        <v>-</v>
      </c>
    </row>
    <row r="29" spans="3:10" x14ac:dyDescent="0.3">
      <c r="C29" s="1"/>
      <c r="E29" t="str">
        <f>IFERROR((VLOOKUP(A29,'API - io'!$A:$H,5,0)),"-")</f>
        <v>-</v>
      </c>
      <c r="F29" t="str">
        <f>IFERROR((VLOOKUP(A29,'API - io'!$A:$H,3,0)),"-")</f>
        <v>-</v>
      </c>
      <c r="G29" t="str">
        <f>IFERROR((VLOOKUP(A29,'API - io'!$A:$G,4,0)),"-")</f>
        <v>-</v>
      </c>
      <c r="H29" t="str">
        <f>IFERROR((VLOOKUP(A29,'API - io'!$A:$G,5,0)),"-")</f>
        <v>-</v>
      </c>
      <c r="I29" t="str">
        <f>IFERROR((VLOOKUP(A29,'API - io'!$A:$G,6,0)),"-")</f>
        <v>-</v>
      </c>
      <c r="J29" t="str">
        <f>IFERROR((VLOOKUP(A29,'API - io'!$A:$G,7,0)),"-")</f>
        <v>-</v>
      </c>
    </row>
    <row r="30" spans="3:10" x14ac:dyDescent="0.3">
      <c r="C30" s="1"/>
      <c r="E30" t="str">
        <f>IFERROR((VLOOKUP(A30,'API - io'!$A:$H,5,0)),"-")</f>
        <v>-</v>
      </c>
      <c r="F30" t="str">
        <f>IFERROR((VLOOKUP(A30,'API - io'!$A:$H,3,0)),"-")</f>
        <v>-</v>
      </c>
      <c r="G30" t="str">
        <f>IFERROR((VLOOKUP(A30,'API - io'!$A:$G,4,0)),"-")</f>
        <v>-</v>
      </c>
      <c r="H30" t="str">
        <f>IFERROR((VLOOKUP(A30,'API - io'!$A:$G,5,0)),"-")</f>
        <v>-</v>
      </c>
      <c r="I30" t="str">
        <f>IFERROR((VLOOKUP(A30,'API - io'!$A:$G,6,0)),"-")</f>
        <v>-</v>
      </c>
      <c r="J30" t="str">
        <f>IFERROR((VLOOKUP(A30,'API - io'!$A:$G,7,0)),"-")</f>
        <v>-</v>
      </c>
    </row>
    <row r="31" spans="3:10" x14ac:dyDescent="0.3">
      <c r="C31" s="1"/>
      <c r="E31" t="str">
        <f>IFERROR((VLOOKUP(A31,'API - io'!$A:$H,5,0)),"-")</f>
        <v>-</v>
      </c>
      <c r="F31" t="str">
        <f>IFERROR((VLOOKUP(A31,'API - io'!$A:$H,3,0)),"-")</f>
        <v>-</v>
      </c>
      <c r="G31" t="str">
        <f>IFERROR((VLOOKUP(A31,'API - io'!$A:$G,4,0)),"-")</f>
        <v>-</v>
      </c>
      <c r="H31" t="str">
        <f>IFERROR((VLOOKUP(A31,'API - io'!$A:$G,5,0)),"-")</f>
        <v>-</v>
      </c>
      <c r="I31" t="str">
        <f>IFERROR((VLOOKUP(A31,'API - io'!$A:$G,6,0)),"-")</f>
        <v>-</v>
      </c>
      <c r="J31" t="str">
        <f>IFERROR((VLOOKUP(A31,'API - io'!$A:$G,7,0)),"-")</f>
        <v>-</v>
      </c>
    </row>
    <row r="32" spans="3:10" x14ac:dyDescent="0.3">
      <c r="C32" s="1"/>
      <c r="E32" t="str">
        <f>IFERROR((VLOOKUP(A32,'API - io'!$A:$H,5,0)),"-")</f>
        <v>-</v>
      </c>
      <c r="F32" t="str">
        <f>IFERROR((VLOOKUP(A32,'API - io'!$A:$H,3,0)),"-")</f>
        <v>-</v>
      </c>
      <c r="G32" t="str">
        <f>IFERROR((VLOOKUP(A32,'API - io'!$A:$G,4,0)),"-")</f>
        <v>-</v>
      </c>
      <c r="H32" t="str">
        <f>IFERROR((VLOOKUP(A32,'API - io'!$A:$G,5,0)),"-")</f>
        <v>-</v>
      </c>
      <c r="I32" t="str">
        <f>IFERROR((VLOOKUP(A32,'API - io'!$A:$G,6,0)),"-")</f>
        <v>-</v>
      </c>
      <c r="J32" t="str">
        <f>IFERROR((VLOOKUP(A32,'API - io'!$A:$G,7,0)),"-")</f>
        <v>-</v>
      </c>
    </row>
    <row r="33" spans="3:10" x14ac:dyDescent="0.3">
      <c r="C33" s="1"/>
      <c r="E33" t="str">
        <f>IFERROR((VLOOKUP(A33,'API - io'!$A:$H,5,0)),"-")</f>
        <v>-</v>
      </c>
      <c r="F33" t="str">
        <f>IFERROR((VLOOKUP(A33,'API - io'!$A:$H,3,0)),"-")</f>
        <v>-</v>
      </c>
      <c r="G33" t="str">
        <f>IFERROR((VLOOKUP(A33,'API - io'!$A:$G,4,0)),"-")</f>
        <v>-</v>
      </c>
      <c r="H33" t="str">
        <f>IFERROR((VLOOKUP(A33,'API - io'!$A:$G,5,0)),"-")</f>
        <v>-</v>
      </c>
      <c r="I33" t="str">
        <f>IFERROR((VLOOKUP(A33,'API - io'!$A:$G,6,0)),"-")</f>
        <v>-</v>
      </c>
      <c r="J33" t="str">
        <f>IFERROR((VLOOKUP(A33,'API - io'!$A:$G,7,0)),"-")</f>
        <v>-</v>
      </c>
    </row>
    <row r="34" spans="3:10" x14ac:dyDescent="0.3">
      <c r="C34" s="1"/>
      <c r="E34" t="str">
        <f>IFERROR((VLOOKUP(A34,'API - io'!$A:$H,5,0)),"-")</f>
        <v>-</v>
      </c>
      <c r="F34" t="str">
        <f>IFERROR((VLOOKUP(A34,'API - io'!$A:$H,3,0)),"-")</f>
        <v>-</v>
      </c>
      <c r="G34" t="str">
        <f>IFERROR((VLOOKUP(A34,'API - io'!$A:$G,4,0)),"-")</f>
        <v>-</v>
      </c>
      <c r="H34" t="str">
        <f>IFERROR((VLOOKUP(A34,'API - io'!$A:$G,5,0)),"-")</f>
        <v>-</v>
      </c>
      <c r="I34" t="str">
        <f>IFERROR((VLOOKUP(A34,'API - io'!$A:$G,6,0)),"-")</f>
        <v>-</v>
      </c>
      <c r="J34" t="str">
        <f>IFERROR((VLOOKUP(A34,'API - io'!$A:$G,7,0)),"-")</f>
        <v>-</v>
      </c>
    </row>
    <row r="35" spans="3:10" x14ac:dyDescent="0.3">
      <c r="C35" s="1"/>
      <c r="E35" t="str">
        <f>IFERROR((VLOOKUP(A35,'API - io'!$A:$H,5,0)),"-")</f>
        <v>-</v>
      </c>
      <c r="F35" t="str">
        <f>IFERROR((VLOOKUP(A35,'API - io'!$A:$H,3,0)),"-")</f>
        <v>-</v>
      </c>
      <c r="G35" t="str">
        <f>IFERROR((VLOOKUP(A35,'API - io'!$A:$G,4,0)),"-")</f>
        <v>-</v>
      </c>
      <c r="H35" t="str">
        <f>IFERROR((VLOOKUP(A35,'API - io'!$A:$G,5,0)),"-")</f>
        <v>-</v>
      </c>
      <c r="I35" t="str">
        <f>IFERROR((VLOOKUP(A35,'API - io'!$A:$G,6,0)),"-")</f>
        <v>-</v>
      </c>
      <c r="J35" t="str">
        <f>IFERROR((VLOOKUP(A35,'API - io'!$A:$G,7,0)),"-")</f>
        <v>-</v>
      </c>
    </row>
    <row r="36" spans="3:10" x14ac:dyDescent="0.3">
      <c r="C36" s="1"/>
      <c r="E36" t="str">
        <f>IFERROR((VLOOKUP(A36,'API - io'!$A:$H,5,0)),"-")</f>
        <v>-</v>
      </c>
      <c r="F36" t="str">
        <f>IFERROR((VLOOKUP(A36,'API - io'!$A:$H,3,0)),"-")</f>
        <v>-</v>
      </c>
      <c r="G36" t="str">
        <f>IFERROR((VLOOKUP(A36,'API - io'!$A:$G,4,0)),"-")</f>
        <v>-</v>
      </c>
      <c r="H36" t="str">
        <f>IFERROR((VLOOKUP(A36,'API - io'!$A:$G,5,0)),"-")</f>
        <v>-</v>
      </c>
      <c r="I36" t="str">
        <f>IFERROR((VLOOKUP(A36,'API - io'!$A:$G,6,0)),"-")</f>
        <v>-</v>
      </c>
      <c r="J36" t="str">
        <f>IFERROR((VLOOKUP(A36,'API - io'!$A:$G,7,0)),"-")</f>
        <v>-</v>
      </c>
    </row>
    <row r="37" spans="3:10" x14ac:dyDescent="0.3">
      <c r="C37" s="1"/>
      <c r="E37" t="str">
        <f>IFERROR((VLOOKUP(A37,'API - io'!$A:$H,5,0)),"-")</f>
        <v>-</v>
      </c>
      <c r="F37" t="str">
        <f>IFERROR((VLOOKUP(A37,'API - io'!$A:$H,3,0)),"-")</f>
        <v>-</v>
      </c>
      <c r="G37" t="str">
        <f>IFERROR((VLOOKUP(A37,'API - io'!$A:$G,4,0)),"-")</f>
        <v>-</v>
      </c>
      <c r="H37" t="str">
        <f>IFERROR((VLOOKUP(A37,'API - io'!$A:$G,5,0)),"-")</f>
        <v>-</v>
      </c>
      <c r="I37" t="str">
        <f>IFERROR((VLOOKUP(A37,'API - io'!$A:$G,6,0)),"-")</f>
        <v>-</v>
      </c>
      <c r="J37" t="str">
        <f>IFERROR((VLOOKUP(A37,'API - io'!$A:$G,7,0)),"-")</f>
        <v>-</v>
      </c>
    </row>
    <row r="38" spans="3:10" x14ac:dyDescent="0.3">
      <c r="C38" s="1"/>
      <c r="E38" t="str">
        <f>IFERROR((VLOOKUP(A38,'API - io'!$A:$H,5,0)),"-")</f>
        <v>-</v>
      </c>
      <c r="F38" t="str">
        <f>IFERROR((VLOOKUP(A38,'API - io'!$A:$H,3,0)),"-")</f>
        <v>-</v>
      </c>
      <c r="G38" t="str">
        <f>IFERROR((VLOOKUP(A38,'API - io'!$A:$G,4,0)),"-")</f>
        <v>-</v>
      </c>
      <c r="H38" t="str">
        <f>IFERROR((VLOOKUP(A38,'API - io'!$A:$G,5,0)),"-")</f>
        <v>-</v>
      </c>
      <c r="I38" t="str">
        <f>IFERROR((VLOOKUP(A38,'API - io'!$A:$G,6,0)),"-")</f>
        <v>-</v>
      </c>
      <c r="J38" t="str">
        <f>IFERROR((VLOOKUP(A38,'API - io'!$A:$G,7,0)),"-")</f>
        <v>-</v>
      </c>
    </row>
    <row r="39" spans="3:10" x14ac:dyDescent="0.3">
      <c r="C39" s="1"/>
      <c r="E39" t="str">
        <f>IFERROR((VLOOKUP(A39,'API - io'!$A:$H,5,0)),"-")</f>
        <v>-</v>
      </c>
      <c r="F39" t="str">
        <f>IFERROR((VLOOKUP(A39,'API - io'!$A:$H,3,0)),"-")</f>
        <v>-</v>
      </c>
      <c r="G39" t="str">
        <f>IFERROR((VLOOKUP(A39,'API - io'!$A:$G,4,0)),"-")</f>
        <v>-</v>
      </c>
      <c r="H39" t="str">
        <f>IFERROR((VLOOKUP(A39,'API - io'!$A:$G,5,0)),"-")</f>
        <v>-</v>
      </c>
      <c r="I39" t="str">
        <f>IFERROR((VLOOKUP(A39,'API - io'!$A:$G,6,0)),"-")</f>
        <v>-</v>
      </c>
      <c r="J39" t="str">
        <f>IFERROR((VLOOKUP(A39,'API - io'!$A:$G,7,0)),"-")</f>
        <v>-</v>
      </c>
    </row>
    <row r="40" spans="3:10" x14ac:dyDescent="0.3">
      <c r="C40" s="1"/>
      <c r="E40" t="str">
        <f>IFERROR((VLOOKUP(A40,'API - io'!$A:$H,5,0)),"-")</f>
        <v>-</v>
      </c>
      <c r="F40" t="str">
        <f>IFERROR((VLOOKUP(A40,'API - io'!$A:$H,3,0)),"-")</f>
        <v>-</v>
      </c>
      <c r="G40" t="str">
        <f>IFERROR((VLOOKUP(A40,'API - io'!$A:$G,4,0)),"-")</f>
        <v>-</v>
      </c>
      <c r="H40" t="str">
        <f>IFERROR((VLOOKUP(A40,'API - io'!$A:$G,5,0)),"-")</f>
        <v>-</v>
      </c>
      <c r="I40" t="str">
        <f>IFERROR((VLOOKUP(A40,'API - io'!$A:$G,6,0)),"-")</f>
        <v>-</v>
      </c>
      <c r="J40" t="str">
        <f>IFERROR((VLOOKUP(A40,'API - io'!$A:$G,7,0)),"-")</f>
        <v>-</v>
      </c>
    </row>
    <row r="41" spans="3:10" x14ac:dyDescent="0.3">
      <c r="C41" s="1"/>
      <c r="E41" t="str">
        <f>IFERROR((VLOOKUP(A41,'API - io'!$A:$H,5,0)),"-")</f>
        <v>-</v>
      </c>
      <c r="F41" t="str">
        <f>IFERROR((VLOOKUP(A41,'API - io'!$A:$H,3,0)),"-")</f>
        <v>-</v>
      </c>
      <c r="G41" t="str">
        <f>IFERROR((VLOOKUP(A41,'API - io'!$A:$G,4,0)),"-")</f>
        <v>-</v>
      </c>
      <c r="H41" t="str">
        <f>IFERROR((VLOOKUP(A41,'API - io'!$A:$G,5,0)),"-")</f>
        <v>-</v>
      </c>
      <c r="I41" t="str">
        <f>IFERROR((VLOOKUP(A41,'API - io'!$A:$G,6,0)),"-")</f>
        <v>-</v>
      </c>
      <c r="J41" t="str">
        <f>IFERROR((VLOOKUP(A41,'API - io'!$A:$G,7,0)),"-")</f>
        <v>-</v>
      </c>
    </row>
    <row r="42" spans="3:10" x14ac:dyDescent="0.3">
      <c r="C42" s="1"/>
      <c r="E42" t="str">
        <f>IFERROR((VLOOKUP(A42,'API - io'!$A:$H,5,0)),"-")</f>
        <v>-</v>
      </c>
      <c r="F42" t="str">
        <f>IFERROR((VLOOKUP(A42,'API - io'!$A:$H,3,0)),"-")</f>
        <v>-</v>
      </c>
      <c r="G42" t="str">
        <f>IFERROR((VLOOKUP(A42,'API - io'!$A:$G,4,0)),"-")</f>
        <v>-</v>
      </c>
      <c r="H42" t="str">
        <f>IFERROR((VLOOKUP(A42,'API - io'!$A:$G,5,0)),"-")</f>
        <v>-</v>
      </c>
      <c r="I42" t="str">
        <f>IFERROR((VLOOKUP(A42,'API - io'!$A:$G,6,0)),"-")</f>
        <v>-</v>
      </c>
      <c r="J42" t="str">
        <f>IFERROR((VLOOKUP(A42,'API - io'!$A:$G,7,0)),"-")</f>
        <v>-</v>
      </c>
    </row>
    <row r="43" spans="3:10" x14ac:dyDescent="0.3">
      <c r="C43" s="1"/>
      <c r="E43" t="str">
        <f>IFERROR((VLOOKUP(A43,'API - io'!$A:$H,5,0)),"-")</f>
        <v>-</v>
      </c>
      <c r="F43" t="str">
        <f>IFERROR((VLOOKUP(A43,'API - io'!$A:$H,3,0)),"-")</f>
        <v>-</v>
      </c>
      <c r="G43" t="str">
        <f>IFERROR((VLOOKUP(A43,'API - io'!$A:$G,4,0)),"-")</f>
        <v>-</v>
      </c>
      <c r="H43" t="str">
        <f>IFERROR((VLOOKUP(A43,'API - io'!$A:$G,5,0)),"-")</f>
        <v>-</v>
      </c>
      <c r="I43" t="str">
        <f>IFERROR((VLOOKUP(A43,'API - io'!$A:$G,6,0)),"-")</f>
        <v>-</v>
      </c>
      <c r="J43" t="str">
        <f>IFERROR((VLOOKUP(A43,'API - io'!$A:$G,7,0)),"-")</f>
        <v>-</v>
      </c>
    </row>
    <row r="44" spans="3:10" x14ac:dyDescent="0.3">
      <c r="C44" s="1"/>
      <c r="E44" t="str">
        <f>IFERROR((VLOOKUP(A44,'API - io'!$A:$H,5,0)),"-")</f>
        <v>-</v>
      </c>
      <c r="F44" t="str">
        <f>IFERROR((VLOOKUP(A44,'API - io'!$A:$H,3,0)),"-")</f>
        <v>-</v>
      </c>
      <c r="G44" t="str">
        <f>IFERROR((VLOOKUP(A44,'API - io'!$A:$G,4,0)),"-")</f>
        <v>-</v>
      </c>
      <c r="H44" t="str">
        <f>IFERROR((VLOOKUP(A44,'API - io'!$A:$G,5,0)),"-")</f>
        <v>-</v>
      </c>
      <c r="I44" t="str">
        <f>IFERROR((VLOOKUP(A44,'API - io'!$A:$G,6,0)),"-")</f>
        <v>-</v>
      </c>
      <c r="J44" t="str">
        <f>IFERROR((VLOOKUP(A44,'API - io'!$A:$G,7,0)),"-")</f>
        <v>-</v>
      </c>
    </row>
    <row r="45" spans="3:10" x14ac:dyDescent="0.3">
      <c r="C45" s="1"/>
      <c r="E45" t="str">
        <f>IFERROR((VLOOKUP(A45,'API - io'!$A:$H,5,0)),"-")</f>
        <v>-</v>
      </c>
      <c r="F45" t="str">
        <f>IFERROR((VLOOKUP(A45,'API - io'!$A:$H,3,0)),"-")</f>
        <v>-</v>
      </c>
      <c r="G45" t="str">
        <f>IFERROR((VLOOKUP(A45,'API - io'!$A:$G,4,0)),"-")</f>
        <v>-</v>
      </c>
      <c r="H45" t="str">
        <f>IFERROR((VLOOKUP(A45,'API - io'!$A:$G,5,0)),"-")</f>
        <v>-</v>
      </c>
      <c r="I45" t="str">
        <f>IFERROR((VLOOKUP(A45,'API - io'!$A:$G,6,0)),"-")</f>
        <v>-</v>
      </c>
      <c r="J45" t="str">
        <f>IFERROR((VLOOKUP(A45,'API - io'!$A:$G,7,0)),"-")</f>
        <v>-</v>
      </c>
    </row>
    <row r="46" spans="3:10" x14ac:dyDescent="0.3">
      <c r="C46" s="1"/>
      <c r="E46" t="str">
        <f>IFERROR((VLOOKUP(A46,'API - io'!$A:$H,5,0)),"-")</f>
        <v>-</v>
      </c>
      <c r="F46" t="str">
        <f>IFERROR((VLOOKUP(A46,'API - io'!$A:$H,3,0)),"-")</f>
        <v>-</v>
      </c>
      <c r="G46" t="str">
        <f>IFERROR((VLOOKUP(A46,'API - io'!$A:$G,4,0)),"-")</f>
        <v>-</v>
      </c>
      <c r="H46" t="str">
        <f>IFERROR((VLOOKUP(A46,'API - io'!$A:$G,5,0)),"-")</f>
        <v>-</v>
      </c>
      <c r="I46" t="str">
        <f>IFERROR((VLOOKUP(A46,'API - io'!$A:$G,6,0)),"-")</f>
        <v>-</v>
      </c>
      <c r="J46" t="str">
        <f>IFERROR((VLOOKUP(A46,'API - io'!$A:$G,7,0)),"-")</f>
        <v>-</v>
      </c>
    </row>
    <row r="47" spans="3:10" x14ac:dyDescent="0.3">
      <c r="C47" s="1"/>
      <c r="E47" t="str">
        <f>IFERROR((VLOOKUP(A47,'API - io'!$A:$H,5,0)),"-")</f>
        <v>-</v>
      </c>
      <c r="F47" t="str">
        <f>IFERROR((VLOOKUP(A47,'API - io'!$A:$H,3,0)),"-")</f>
        <v>-</v>
      </c>
      <c r="G47" t="str">
        <f>IFERROR((VLOOKUP(A47,'API - io'!$A:$G,4,0)),"-")</f>
        <v>-</v>
      </c>
      <c r="H47" t="str">
        <f>IFERROR((VLOOKUP(A47,'API - io'!$A:$G,5,0)),"-")</f>
        <v>-</v>
      </c>
      <c r="I47" t="str">
        <f>IFERROR((VLOOKUP(A47,'API - io'!$A:$G,6,0)),"-")</f>
        <v>-</v>
      </c>
      <c r="J47" t="str">
        <f>IFERROR((VLOOKUP(A47,'API - io'!$A:$G,7,0)),"-")</f>
        <v>-</v>
      </c>
    </row>
    <row r="48" spans="3:10" x14ac:dyDescent="0.3">
      <c r="C48" s="1"/>
      <c r="E48" t="str">
        <f>IFERROR((VLOOKUP(A48,'API - io'!$A:$H,5,0)),"-")</f>
        <v>-</v>
      </c>
      <c r="F48" t="str">
        <f>IFERROR((VLOOKUP(A48,'API - io'!$A:$H,3,0)),"-")</f>
        <v>-</v>
      </c>
      <c r="G48" t="str">
        <f>IFERROR((VLOOKUP(A48,'API - io'!$A:$G,4,0)),"-")</f>
        <v>-</v>
      </c>
      <c r="H48" t="str">
        <f>IFERROR((VLOOKUP(A48,'API - io'!$A:$G,5,0)),"-")</f>
        <v>-</v>
      </c>
      <c r="I48" t="str">
        <f>IFERROR((VLOOKUP(A48,'API - io'!$A:$G,6,0)),"-")</f>
        <v>-</v>
      </c>
      <c r="J48" t="str">
        <f>IFERROR((VLOOKUP(A48,'API - io'!$A:$G,7,0)),"-")</f>
        <v>-</v>
      </c>
    </row>
    <row r="49" spans="3:10" x14ac:dyDescent="0.3">
      <c r="C49" s="1"/>
      <c r="E49" t="str">
        <f>IFERROR((VLOOKUP(A49,'API - io'!$A:$H,5,0)),"-")</f>
        <v>-</v>
      </c>
      <c r="F49" t="str">
        <f>IFERROR((VLOOKUP(A49,'API - io'!$A:$H,3,0)),"-")</f>
        <v>-</v>
      </c>
      <c r="G49" t="str">
        <f>IFERROR((VLOOKUP(A49,'API - io'!$A:$G,4,0)),"-")</f>
        <v>-</v>
      </c>
      <c r="H49" t="str">
        <f>IFERROR((VLOOKUP(A49,'API - io'!$A:$G,5,0)),"-")</f>
        <v>-</v>
      </c>
      <c r="I49" t="str">
        <f>IFERROR((VLOOKUP(A49,'API - io'!$A:$G,6,0)),"-")</f>
        <v>-</v>
      </c>
      <c r="J49" t="str">
        <f>IFERROR((VLOOKUP(A49,'API - io'!$A:$G,7,0)),"-")</f>
        <v>-</v>
      </c>
    </row>
    <row r="50" spans="3:10" x14ac:dyDescent="0.3">
      <c r="C50" s="1"/>
      <c r="E50" t="str">
        <f>IFERROR((VLOOKUP(A50,'API - io'!$A:$H,5,0)),"-")</f>
        <v>-</v>
      </c>
      <c r="F50" t="str">
        <f>IFERROR((VLOOKUP(A50,'API - io'!$A:$H,3,0)),"-")</f>
        <v>-</v>
      </c>
      <c r="G50" t="str">
        <f>IFERROR((VLOOKUP(A50,'API - io'!$A:$G,4,0)),"-")</f>
        <v>-</v>
      </c>
      <c r="H50" t="str">
        <f>IFERROR((VLOOKUP(A50,'API - io'!$A:$G,5,0)),"-")</f>
        <v>-</v>
      </c>
      <c r="I50" t="str">
        <f>IFERROR((VLOOKUP(A50,'API - io'!$A:$G,6,0)),"-")</f>
        <v>-</v>
      </c>
      <c r="J50" t="str">
        <f>IFERROR((VLOOKUP(A50,'API - io'!$A:$G,7,0)),"-")</f>
        <v>-</v>
      </c>
    </row>
    <row r="51" spans="3:10" x14ac:dyDescent="0.3">
      <c r="C51" s="1"/>
      <c r="E51" t="str">
        <f>IFERROR((VLOOKUP(A51,'API - io'!$A:$H,5,0)),"-")</f>
        <v>-</v>
      </c>
      <c r="F51" t="str">
        <f>IFERROR((VLOOKUP(A51,'API - io'!$A:$H,3,0)),"-")</f>
        <v>-</v>
      </c>
      <c r="G51" t="str">
        <f>IFERROR((VLOOKUP(A51,'API - io'!$A:$G,4,0)),"-")</f>
        <v>-</v>
      </c>
      <c r="H51" t="str">
        <f>IFERROR((VLOOKUP(A51,'API - io'!$A:$G,5,0)),"-")</f>
        <v>-</v>
      </c>
      <c r="I51" t="str">
        <f>IFERROR((VLOOKUP(A51,'API - io'!$A:$G,6,0)),"-")</f>
        <v>-</v>
      </c>
      <c r="J51" t="str">
        <f>IFERROR((VLOOKUP(A51,'API - io'!$A:$G,7,0)),"-")</f>
        <v>-</v>
      </c>
    </row>
    <row r="52" spans="3:10" x14ac:dyDescent="0.3">
      <c r="C52" s="1"/>
      <c r="E52" t="str">
        <f>IFERROR((VLOOKUP(A52,'API - io'!$A:$H,5,0)),"-")</f>
        <v>-</v>
      </c>
      <c r="F52" t="str">
        <f>IFERROR((VLOOKUP(A52,'API - io'!$A:$H,3,0)),"-")</f>
        <v>-</v>
      </c>
      <c r="G52" t="str">
        <f>IFERROR((VLOOKUP(A52,'API - io'!$A:$G,4,0)),"-")</f>
        <v>-</v>
      </c>
      <c r="H52" t="str">
        <f>IFERROR((VLOOKUP(A52,'API - io'!$A:$G,5,0)),"-")</f>
        <v>-</v>
      </c>
      <c r="I52" t="str">
        <f>IFERROR((VLOOKUP(A52,'API - io'!$A:$G,6,0)),"-")</f>
        <v>-</v>
      </c>
      <c r="J52" t="str">
        <f>IFERROR((VLOOKUP(A52,'API - io'!$A:$G,7,0)),"-")</f>
        <v>-</v>
      </c>
    </row>
    <row r="53" spans="3:10" x14ac:dyDescent="0.3">
      <c r="C53" s="1"/>
      <c r="E53" t="str">
        <f>IFERROR((VLOOKUP(A53,'API - io'!$A:$H,5,0)),"-")</f>
        <v>-</v>
      </c>
      <c r="F53" t="str">
        <f>IFERROR((VLOOKUP(A53,'API - io'!$A:$H,3,0)),"-")</f>
        <v>-</v>
      </c>
      <c r="G53" t="str">
        <f>IFERROR((VLOOKUP(A53,'API - io'!$A:$G,4,0)),"-")</f>
        <v>-</v>
      </c>
      <c r="H53" t="str">
        <f>IFERROR((VLOOKUP(A53,'API - io'!$A:$G,5,0)),"-")</f>
        <v>-</v>
      </c>
      <c r="I53" t="str">
        <f>IFERROR((VLOOKUP(A53,'API - io'!$A:$G,6,0)),"-")</f>
        <v>-</v>
      </c>
      <c r="J53" t="str">
        <f>IFERROR((VLOOKUP(A53,'API - io'!$A:$G,7,0)),"-")</f>
        <v>-</v>
      </c>
    </row>
    <row r="54" spans="3:10" x14ac:dyDescent="0.3">
      <c r="C54" s="1"/>
      <c r="E54" t="str">
        <f>IFERROR((VLOOKUP(A54,'API - io'!$A:$H,5,0)),"-")</f>
        <v>-</v>
      </c>
      <c r="F54" t="str">
        <f>IFERROR((VLOOKUP(A54,'API - io'!$A:$H,3,0)),"-")</f>
        <v>-</v>
      </c>
      <c r="G54" t="str">
        <f>IFERROR((VLOOKUP(A54,'API - io'!$A:$G,4,0)),"-")</f>
        <v>-</v>
      </c>
      <c r="H54" t="str">
        <f>IFERROR((VLOOKUP(A54,'API - io'!$A:$G,5,0)),"-")</f>
        <v>-</v>
      </c>
      <c r="I54" t="str">
        <f>IFERROR((VLOOKUP(A54,'API - io'!$A:$G,6,0)),"-")</f>
        <v>-</v>
      </c>
      <c r="J54" t="str">
        <f>IFERROR((VLOOKUP(A54,'API - io'!$A:$G,7,0)),"-")</f>
        <v>-</v>
      </c>
    </row>
    <row r="55" spans="3:10" x14ac:dyDescent="0.3">
      <c r="C55" s="1"/>
      <c r="E55" t="str">
        <f>IFERROR((VLOOKUP(A55,'API - io'!$A:$H,5,0)),"-")</f>
        <v>-</v>
      </c>
      <c r="F55" t="str">
        <f>IFERROR((VLOOKUP(A55,'API - io'!$A:$H,3,0)),"-")</f>
        <v>-</v>
      </c>
      <c r="G55" t="str">
        <f>IFERROR((VLOOKUP(A55,'API - io'!$A:$G,4,0)),"-")</f>
        <v>-</v>
      </c>
      <c r="H55" t="str">
        <f>IFERROR((VLOOKUP(A55,'API - io'!$A:$G,5,0)),"-")</f>
        <v>-</v>
      </c>
      <c r="I55" t="str">
        <f>IFERROR((VLOOKUP(A55,'API - io'!$A:$G,6,0)),"-")</f>
        <v>-</v>
      </c>
      <c r="J55" t="str">
        <f>IFERROR((VLOOKUP(A55,'API - io'!$A:$G,7,0)),"-")</f>
        <v>-</v>
      </c>
    </row>
    <row r="56" spans="3:10" x14ac:dyDescent="0.3">
      <c r="C56" s="1"/>
      <c r="E56" t="str">
        <f>IFERROR((VLOOKUP(A56,'API - io'!$A:$H,5,0)),"-")</f>
        <v>-</v>
      </c>
      <c r="F56" t="str">
        <f>IFERROR((VLOOKUP(A56,'API - io'!$A:$H,3,0)),"-")</f>
        <v>-</v>
      </c>
      <c r="G56" t="str">
        <f>IFERROR((VLOOKUP(A56,'API - io'!$A:$G,4,0)),"-")</f>
        <v>-</v>
      </c>
      <c r="H56" t="str">
        <f>IFERROR((VLOOKUP(A56,'API - io'!$A:$G,5,0)),"-")</f>
        <v>-</v>
      </c>
      <c r="I56" t="str">
        <f>IFERROR((VLOOKUP(A56,'API - io'!$A:$G,6,0)),"-")</f>
        <v>-</v>
      </c>
      <c r="J56" t="str">
        <f>IFERROR((VLOOKUP(A56,'API - io'!$A:$G,7,0)),"-")</f>
        <v>-</v>
      </c>
    </row>
    <row r="57" spans="3:10" x14ac:dyDescent="0.3">
      <c r="C57" s="1"/>
      <c r="E57" t="str">
        <f>IFERROR((VLOOKUP(A57,'API - io'!$A:$H,5,0)),"-")</f>
        <v>-</v>
      </c>
      <c r="F57" t="str">
        <f>IFERROR((VLOOKUP(A57,'API - io'!$A:$H,3,0)),"-")</f>
        <v>-</v>
      </c>
      <c r="G57" t="str">
        <f>IFERROR((VLOOKUP(A57,'API - io'!$A:$G,4,0)),"-")</f>
        <v>-</v>
      </c>
      <c r="H57" t="str">
        <f>IFERROR((VLOOKUP(A57,'API - io'!$A:$G,5,0)),"-")</f>
        <v>-</v>
      </c>
      <c r="I57" t="str">
        <f>IFERROR((VLOOKUP(A57,'API - io'!$A:$G,6,0)),"-")</f>
        <v>-</v>
      </c>
      <c r="J57" t="str">
        <f>IFERROR((VLOOKUP(A57,'API - io'!$A:$G,7,0)),"-")</f>
        <v>-</v>
      </c>
    </row>
    <row r="58" spans="3:10" x14ac:dyDescent="0.3">
      <c r="C58" s="1"/>
      <c r="E58" t="str">
        <f>IFERROR((VLOOKUP(A58,'API - io'!$A:$H,5,0)),"-")</f>
        <v>-</v>
      </c>
      <c r="F58" t="str">
        <f>IFERROR((VLOOKUP(A58,'API - io'!$A:$H,3,0)),"-")</f>
        <v>-</v>
      </c>
      <c r="G58" t="str">
        <f>IFERROR((VLOOKUP(A58,'API - io'!$A:$G,4,0)),"-")</f>
        <v>-</v>
      </c>
      <c r="H58" t="str">
        <f>IFERROR((VLOOKUP(A58,'API - io'!$A:$G,5,0)),"-")</f>
        <v>-</v>
      </c>
      <c r="I58" t="str">
        <f>IFERROR((VLOOKUP(A58,'API - io'!$A:$G,6,0)),"-")</f>
        <v>-</v>
      </c>
      <c r="J58" t="str">
        <f>IFERROR((VLOOKUP(A58,'API - io'!$A:$G,7,0)),"-")</f>
        <v>-</v>
      </c>
    </row>
    <row r="59" spans="3:10" x14ac:dyDescent="0.3">
      <c r="C59" s="1"/>
      <c r="E59" t="str">
        <f>IFERROR((VLOOKUP(A59,'API - io'!$A:$H,5,0)),"-")</f>
        <v>-</v>
      </c>
      <c r="F59" t="str">
        <f>IFERROR((VLOOKUP(A59,'API - io'!$A:$H,3,0)),"-")</f>
        <v>-</v>
      </c>
      <c r="G59" t="str">
        <f>IFERROR((VLOOKUP(A59,'API - io'!$A:$G,4,0)),"-")</f>
        <v>-</v>
      </c>
      <c r="H59" t="str">
        <f>IFERROR((VLOOKUP(A59,'API - io'!$A:$G,5,0)),"-")</f>
        <v>-</v>
      </c>
      <c r="I59" t="str">
        <f>IFERROR((VLOOKUP(A59,'API - io'!$A:$G,6,0)),"-")</f>
        <v>-</v>
      </c>
      <c r="J59" t="str">
        <f>IFERROR((VLOOKUP(A59,'API - io'!$A:$G,7,0)),"-")</f>
        <v>-</v>
      </c>
    </row>
    <row r="60" spans="3:10" x14ac:dyDescent="0.3">
      <c r="C60" s="1"/>
      <c r="E60" t="str">
        <f>IFERROR((VLOOKUP(A60,'API - io'!$A:$H,5,0)),"-")</f>
        <v>-</v>
      </c>
      <c r="F60" t="str">
        <f>IFERROR((VLOOKUP(A60,'API - io'!$A:$H,3,0)),"-")</f>
        <v>-</v>
      </c>
      <c r="G60" t="str">
        <f>IFERROR((VLOOKUP(A60,'API - io'!$A:$G,4,0)),"-")</f>
        <v>-</v>
      </c>
      <c r="H60" t="str">
        <f>IFERROR((VLOOKUP(A60,'API - io'!$A:$G,5,0)),"-")</f>
        <v>-</v>
      </c>
      <c r="I60" t="str">
        <f>IFERROR((VLOOKUP(A60,'API - io'!$A:$G,6,0)),"-")</f>
        <v>-</v>
      </c>
      <c r="J60" t="str">
        <f>IFERROR((VLOOKUP(A60,'API - io'!$A:$G,7,0)),"-")</f>
        <v>-</v>
      </c>
    </row>
    <row r="61" spans="3:10" x14ac:dyDescent="0.3">
      <c r="C61" s="1"/>
      <c r="E61" t="str">
        <f>IFERROR((VLOOKUP(A61,'API - io'!$A:$H,5,0)),"-")</f>
        <v>-</v>
      </c>
      <c r="F61" t="str">
        <f>IFERROR((VLOOKUP(A61,'API - io'!$A:$H,3,0)),"-")</f>
        <v>-</v>
      </c>
      <c r="G61" t="str">
        <f>IFERROR((VLOOKUP(A61,'API - io'!$A:$G,4,0)),"-")</f>
        <v>-</v>
      </c>
      <c r="H61" t="str">
        <f>IFERROR((VLOOKUP(A61,'API - io'!$A:$G,5,0)),"-")</f>
        <v>-</v>
      </c>
      <c r="I61" t="str">
        <f>IFERROR((VLOOKUP(A61,'API - io'!$A:$G,6,0)),"-")</f>
        <v>-</v>
      </c>
      <c r="J61" t="str">
        <f>IFERROR((VLOOKUP(A61,'API - io'!$A:$G,7,0)),"-")</f>
        <v>-</v>
      </c>
    </row>
    <row r="62" spans="3:10" x14ac:dyDescent="0.3">
      <c r="C62" s="1"/>
      <c r="E62" t="str">
        <f>IFERROR((VLOOKUP(A62,'API - io'!$A:$H,5,0)),"-")</f>
        <v>-</v>
      </c>
      <c r="F62" t="str">
        <f>IFERROR((VLOOKUP(A62,'API - io'!$A:$H,3,0)),"-")</f>
        <v>-</v>
      </c>
      <c r="G62" t="str">
        <f>IFERROR((VLOOKUP(A62,'API - io'!$A:$G,4,0)),"-")</f>
        <v>-</v>
      </c>
      <c r="H62" t="str">
        <f>IFERROR((VLOOKUP(A62,'API - io'!$A:$G,5,0)),"-")</f>
        <v>-</v>
      </c>
      <c r="I62" t="str">
        <f>IFERROR((VLOOKUP(A62,'API - io'!$A:$G,6,0)),"-")</f>
        <v>-</v>
      </c>
      <c r="J62" t="str">
        <f>IFERROR((VLOOKUP(A62,'API - io'!$A:$G,7,0)),"-")</f>
        <v>-</v>
      </c>
    </row>
    <row r="63" spans="3:10" x14ac:dyDescent="0.3">
      <c r="C63" s="1"/>
      <c r="E63" t="str">
        <f>IFERROR((VLOOKUP(A63,'API - io'!$A:$H,5,0)),"-")</f>
        <v>-</v>
      </c>
      <c r="F63" t="str">
        <f>IFERROR((VLOOKUP(A63,'API - io'!$A:$H,3,0)),"-")</f>
        <v>-</v>
      </c>
      <c r="G63" t="str">
        <f>IFERROR((VLOOKUP(A63,'API - io'!$A:$G,4,0)),"-")</f>
        <v>-</v>
      </c>
      <c r="H63" t="str">
        <f>IFERROR((VLOOKUP(A63,'API - io'!$A:$G,5,0)),"-")</f>
        <v>-</v>
      </c>
      <c r="I63" t="str">
        <f>IFERROR((VLOOKUP(A63,'API - io'!$A:$G,6,0)),"-")</f>
        <v>-</v>
      </c>
      <c r="J63" t="str">
        <f>IFERROR((VLOOKUP(A63,'API - io'!$A:$G,7,0)),"-")</f>
        <v>-</v>
      </c>
    </row>
    <row r="64" spans="3:10" x14ac:dyDescent="0.3">
      <c r="C64" s="1"/>
      <c r="E64" t="str">
        <f>IFERROR((VLOOKUP(A64,'API - io'!$A:$H,5,0)),"-")</f>
        <v>-</v>
      </c>
      <c r="F64" t="str">
        <f>IFERROR((VLOOKUP(A64,'API - io'!$A:$H,3,0)),"-")</f>
        <v>-</v>
      </c>
      <c r="G64" t="str">
        <f>IFERROR((VLOOKUP(A64,'API - io'!$A:$G,4,0)),"-")</f>
        <v>-</v>
      </c>
      <c r="H64" t="str">
        <f>IFERROR((VLOOKUP(A64,'API - io'!$A:$G,5,0)),"-")</f>
        <v>-</v>
      </c>
      <c r="I64" t="str">
        <f>IFERROR((VLOOKUP(A64,'API - io'!$A:$G,6,0)),"-")</f>
        <v>-</v>
      </c>
      <c r="J64" t="str">
        <f>IFERROR((VLOOKUP(A64,'API - io'!$A:$G,7,0)),"-")</f>
        <v>-</v>
      </c>
    </row>
    <row r="65" spans="3:10" x14ac:dyDescent="0.3">
      <c r="C65" s="1"/>
      <c r="E65" t="str">
        <f>IFERROR((VLOOKUP(A65,'API - io'!$A:$H,5,0)),"-")</f>
        <v>-</v>
      </c>
      <c r="F65" t="str">
        <f>IFERROR((VLOOKUP(A65,'API - io'!$A:$H,3,0)),"-")</f>
        <v>-</v>
      </c>
      <c r="G65" t="str">
        <f>IFERROR((VLOOKUP(A65,'API - io'!$A:$G,4,0)),"-")</f>
        <v>-</v>
      </c>
      <c r="H65" t="str">
        <f>IFERROR((VLOOKUP(A65,'API - io'!$A:$G,5,0)),"-")</f>
        <v>-</v>
      </c>
      <c r="I65" t="str">
        <f>IFERROR((VLOOKUP(A65,'API - io'!$A:$G,6,0)),"-")</f>
        <v>-</v>
      </c>
      <c r="J65" t="str">
        <f>IFERROR((VLOOKUP(A65,'API - io'!$A:$G,7,0)),"-")</f>
        <v>-</v>
      </c>
    </row>
    <row r="66" spans="3:10" x14ac:dyDescent="0.3">
      <c r="C66" s="1"/>
      <c r="E66" t="str">
        <f>IFERROR((VLOOKUP(A66,'API - io'!$A:$H,5,0)),"-")</f>
        <v>-</v>
      </c>
      <c r="F66" t="str">
        <f>IFERROR((VLOOKUP(A66,'API - io'!$A:$H,3,0)),"-")</f>
        <v>-</v>
      </c>
      <c r="G66" t="str">
        <f>IFERROR((VLOOKUP(A66,'API - io'!$A:$G,4,0)),"-")</f>
        <v>-</v>
      </c>
      <c r="H66" t="str">
        <f>IFERROR((VLOOKUP(A66,'API - io'!$A:$G,5,0)),"-")</f>
        <v>-</v>
      </c>
      <c r="I66" t="str">
        <f>IFERROR((VLOOKUP(A66,'API - io'!$A:$G,6,0)),"-")</f>
        <v>-</v>
      </c>
      <c r="J66" t="str">
        <f>IFERROR((VLOOKUP(A66,'API - io'!$A:$G,7,0)),"-")</f>
        <v>-</v>
      </c>
    </row>
    <row r="67" spans="3:10" x14ac:dyDescent="0.3">
      <c r="C67" s="1"/>
      <c r="E67" t="str">
        <f>IFERROR((VLOOKUP(A67,'API - io'!$A:$H,5,0)),"-")</f>
        <v>-</v>
      </c>
      <c r="F67" t="str">
        <f>IFERROR((VLOOKUP(A67,'API - io'!$A:$H,3,0)),"-")</f>
        <v>-</v>
      </c>
      <c r="G67" t="str">
        <f>IFERROR((VLOOKUP(A67,'API - io'!$A:$G,4,0)),"-")</f>
        <v>-</v>
      </c>
      <c r="H67" t="str">
        <f>IFERROR((VLOOKUP(A67,'API - io'!$A:$G,5,0)),"-")</f>
        <v>-</v>
      </c>
      <c r="I67" t="str">
        <f>IFERROR((VLOOKUP(A67,'API - io'!$A:$G,6,0)),"-")</f>
        <v>-</v>
      </c>
      <c r="J67" t="str">
        <f>IFERROR((VLOOKUP(A67,'API - io'!$A:$G,7,0)),"-")</f>
        <v>-</v>
      </c>
    </row>
    <row r="68" spans="3:10" x14ac:dyDescent="0.3">
      <c r="C68" s="1"/>
      <c r="E68" t="str">
        <f>IFERROR((VLOOKUP(A68,'API - io'!$A:$H,5,0)),"-")</f>
        <v>-</v>
      </c>
      <c r="F68" t="str">
        <f>IFERROR((VLOOKUP(A68,'API - io'!$A:$H,3,0)),"-")</f>
        <v>-</v>
      </c>
      <c r="G68" t="str">
        <f>IFERROR((VLOOKUP(A68,'API - io'!$A:$G,4,0)),"-")</f>
        <v>-</v>
      </c>
      <c r="H68" t="str">
        <f>IFERROR((VLOOKUP(A68,'API - io'!$A:$G,5,0)),"-")</f>
        <v>-</v>
      </c>
      <c r="I68" t="str">
        <f>IFERROR((VLOOKUP(A68,'API - io'!$A:$G,6,0)),"-")</f>
        <v>-</v>
      </c>
      <c r="J68" t="str">
        <f>IFERROR((VLOOKUP(A68,'API - io'!$A:$G,7,0)),"-")</f>
        <v>-</v>
      </c>
    </row>
    <row r="69" spans="3:10" x14ac:dyDescent="0.3">
      <c r="C69" s="1"/>
      <c r="E69" t="str">
        <f>IFERROR((VLOOKUP(A69,'API - io'!$A:$H,5,0)),"-")</f>
        <v>-</v>
      </c>
      <c r="F69" t="str">
        <f>IFERROR((VLOOKUP(A69,'API - io'!$A:$H,3,0)),"-")</f>
        <v>-</v>
      </c>
      <c r="G69" t="str">
        <f>IFERROR((VLOOKUP(A69,'API - io'!$A:$G,4,0)),"-")</f>
        <v>-</v>
      </c>
      <c r="H69" t="str">
        <f>IFERROR((VLOOKUP(A69,'API - io'!$A:$G,5,0)),"-")</f>
        <v>-</v>
      </c>
      <c r="I69" t="str">
        <f>IFERROR((VLOOKUP(A69,'API - io'!$A:$G,6,0)),"-")</f>
        <v>-</v>
      </c>
      <c r="J69" t="str">
        <f>IFERROR((VLOOKUP(A69,'API - io'!$A:$G,7,0)),"-")</f>
        <v>-</v>
      </c>
    </row>
    <row r="70" spans="3:10" x14ac:dyDescent="0.3">
      <c r="C70" s="1"/>
      <c r="E70" t="str">
        <f>IFERROR((VLOOKUP(A70,'API - io'!$A:$H,5,0)),"-")</f>
        <v>-</v>
      </c>
      <c r="F70" t="str">
        <f>IFERROR((VLOOKUP(A70,'API - io'!$A:$H,3,0)),"-")</f>
        <v>-</v>
      </c>
      <c r="G70" t="str">
        <f>IFERROR((VLOOKUP(A70,'API - io'!$A:$G,4,0)),"-")</f>
        <v>-</v>
      </c>
      <c r="H70" t="str">
        <f>IFERROR((VLOOKUP(A70,'API - io'!$A:$G,5,0)),"-")</f>
        <v>-</v>
      </c>
      <c r="I70" t="str">
        <f>IFERROR((VLOOKUP(A70,'API - io'!$A:$G,6,0)),"-")</f>
        <v>-</v>
      </c>
      <c r="J70" t="str">
        <f>IFERROR((VLOOKUP(A70,'API - io'!$A:$G,7,0)),"-")</f>
        <v>-</v>
      </c>
    </row>
    <row r="71" spans="3:10" x14ac:dyDescent="0.3">
      <c r="C71" s="1"/>
      <c r="E71" t="str">
        <f>IFERROR((VLOOKUP(A71,'API - io'!$A:$H,5,0)),"-")</f>
        <v>-</v>
      </c>
      <c r="F71" t="str">
        <f>IFERROR((VLOOKUP(A71,'API - io'!$A:$H,3,0)),"-")</f>
        <v>-</v>
      </c>
      <c r="G71" t="str">
        <f>IFERROR((VLOOKUP(A71,'API - io'!$A:$G,4,0)),"-")</f>
        <v>-</v>
      </c>
      <c r="H71" t="str">
        <f>IFERROR((VLOOKUP(A71,'API - io'!$A:$G,5,0)),"-")</f>
        <v>-</v>
      </c>
      <c r="I71" t="str">
        <f>IFERROR((VLOOKUP(A71,'API - io'!$A:$G,6,0)),"-")</f>
        <v>-</v>
      </c>
      <c r="J71" t="str">
        <f>IFERROR((VLOOKUP(A71,'API - io'!$A:$G,7,0)),"-")</f>
        <v>-</v>
      </c>
    </row>
    <row r="72" spans="3:10" x14ac:dyDescent="0.3">
      <c r="C72" s="1"/>
      <c r="E72" t="str">
        <f>IFERROR((VLOOKUP(A72,'API - io'!$A:$H,5,0)),"-")</f>
        <v>-</v>
      </c>
      <c r="F72" t="str">
        <f>IFERROR((VLOOKUP(A72,'API - io'!$A:$H,3,0)),"-")</f>
        <v>-</v>
      </c>
      <c r="G72" t="str">
        <f>IFERROR((VLOOKUP(A72,'API - io'!$A:$G,4,0)),"-")</f>
        <v>-</v>
      </c>
      <c r="H72" t="str">
        <f>IFERROR((VLOOKUP(A72,'API - io'!$A:$G,5,0)),"-")</f>
        <v>-</v>
      </c>
      <c r="I72" t="str">
        <f>IFERROR((VLOOKUP(A72,'API - io'!$A:$G,6,0)),"-")</f>
        <v>-</v>
      </c>
      <c r="J72" t="str">
        <f>IFERROR((VLOOKUP(A72,'API - io'!$A:$G,7,0)),"-")</f>
        <v>-</v>
      </c>
    </row>
    <row r="73" spans="3:10" x14ac:dyDescent="0.3">
      <c r="C73" s="1"/>
      <c r="E73" t="str">
        <f>IFERROR((VLOOKUP(A73,'API - io'!$A:$H,5,0)),"-")</f>
        <v>-</v>
      </c>
      <c r="F73" t="str">
        <f>IFERROR((VLOOKUP(A73,'API - io'!$A:$H,3,0)),"-")</f>
        <v>-</v>
      </c>
      <c r="G73" t="str">
        <f>IFERROR((VLOOKUP(A73,'API - io'!$A:$G,4,0)),"-")</f>
        <v>-</v>
      </c>
      <c r="H73" t="str">
        <f>IFERROR((VLOOKUP(A73,'API - io'!$A:$G,5,0)),"-")</f>
        <v>-</v>
      </c>
      <c r="I73" t="str">
        <f>IFERROR((VLOOKUP(A73,'API - io'!$A:$G,6,0)),"-")</f>
        <v>-</v>
      </c>
      <c r="J73" t="str">
        <f>IFERROR((VLOOKUP(A73,'API - io'!$A:$G,7,0)),"-")</f>
        <v>-</v>
      </c>
    </row>
    <row r="74" spans="3:10" x14ac:dyDescent="0.3">
      <c r="C74" s="1"/>
      <c r="E74" t="str">
        <f>IFERROR((VLOOKUP(A74,'API - io'!$A:$H,5,0)),"-")</f>
        <v>-</v>
      </c>
      <c r="F74" t="str">
        <f>IFERROR((VLOOKUP(A74,'API - io'!$A:$H,3,0)),"-")</f>
        <v>-</v>
      </c>
      <c r="G74" t="str">
        <f>IFERROR((VLOOKUP(A74,'API - io'!$A:$G,4,0)),"-")</f>
        <v>-</v>
      </c>
      <c r="H74" t="str">
        <f>IFERROR((VLOOKUP(A74,'API - io'!$A:$G,5,0)),"-")</f>
        <v>-</v>
      </c>
      <c r="I74" t="str">
        <f>IFERROR((VLOOKUP(A74,'API - io'!$A:$G,6,0)),"-")</f>
        <v>-</v>
      </c>
      <c r="J74" t="str">
        <f>IFERROR((VLOOKUP(A74,'API - io'!$A:$G,7,0)),"-")</f>
        <v>-</v>
      </c>
    </row>
    <row r="75" spans="3:10" x14ac:dyDescent="0.3">
      <c r="C75" s="1"/>
      <c r="E75" t="str">
        <f>IFERROR((VLOOKUP(A75,'API - io'!$A:$H,5,0)),"-")</f>
        <v>-</v>
      </c>
      <c r="F75" t="str">
        <f>IFERROR((VLOOKUP(A75,'API - io'!$A:$H,3,0)),"-")</f>
        <v>-</v>
      </c>
      <c r="G75" t="str">
        <f>IFERROR((VLOOKUP(A75,'API - io'!$A:$G,4,0)),"-")</f>
        <v>-</v>
      </c>
      <c r="H75" t="str">
        <f>IFERROR((VLOOKUP(A75,'API - io'!$A:$G,5,0)),"-")</f>
        <v>-</v>
      </c>
      <c r="I75" t="str">
        <f>IFERROR((VLOOKUP(A75,'API - io'!$A:$G,6,0)),"-")</f>
        <v>-</v>
      </c>
      <c r="J75" t="str">
        <f>IFERROR((VLOOKUP(A75,'API - io'!$A:$G,7,0)),"-")</f>
        <v>-</v>
      </c>
    </row>
    <row r="76" spans="3:10" x14ac:dyDescent="0.3">
      <c r="C76" s="1"/>
      <c r="E76" t="str">
        <f>IFERROR((VLOOKUP(A76,'API - io'!$A:$H,5,0)),"-")</f>
        <v>-</v>
      </c>
      <c r="F76" t="str">
        <f>IFERROR((VLOOKUP(A76,'API - io'!$A:$H,3,0)),"-")</f>
        <v>-</v>
      </c>
      <c r="G76" t="str">
        <f>IFERROR((VLOOKUP(A76,'API - io'!$A:$G,4,0)),"-")</f>
        <v>-</v>
      </c>
      <c r="H76" t="str">
        <f>IFERROR((VLOOKUP(A76,'API - io'!$A:$G,5,0)),"-")</f>
        <v>-</v>
      </c>
      <c r="I76" t="str">
        <f>IFERROR((VLOOKUP(A76,'API - io'!$A:$G,6,0)),"-")</f>
        <v>-</v>
      </c>
      <c r="J76" t="str">
        <f>IFERROR((VLOOKUP(A76,'API - io'!$A:$G,7,0)),"-")</f>
        <v>-</v>
      </c>
    </row>
    <row r="77" spans="3:10" x14ac:dyDescent="0.3">
      <c r="C77" s="1"/>
      <c r="E77" t="str">
        <f>IFERROR((VLOOKUP(A77,'API - io'!$A:$H,5,0)),"-")</f>
        <v>-</v>
      </c>
      <c r="F77" t="str">
        <f>IFERROR((VLOOKUP(A77,'API - io'!$A:$H,3,0)),"-")</f>
        <v>-</v>
      </c>
      <c r="G77" t="str">
        <f>IFERROR((VLOOKUP(A77,'API - io'!$A:$G,4,0)),"-")</f>
        <v>-</v>
      </c>
      <c r="H77" t="str">
        <f>IFERROR((VLOOKUP(A77,'API - io'!$A:$G,5,0)),"-")</f>
        <v>-</v>
      </c>
      <c r="I77" t="str">
        <f>IFERROR((VLOOKUP(A77,'API - io'!$A:$G,6,0)),"-")</f>
        <v>-</v>
      </c>
      <c r="J77" t="str">
        <f>IFERROR((VLOOKUP(A77,'API - io'!$A:$G,7,0)),"-")</f>
        <v>-</v>
      </c>
    </row>
    <row r="78" spans="3:10" x14ac:dyDescent="0.3">
      <c r="C78" s="1"/>
      <c r="E78" t="str">
        <f>IFERROR((VLOOKUP(A78,'API - io'!$A:$H,5,0)),"-")</f>
        <v>-</v>
      </c>
      <c r="F78" t="str">
        <f>IFERROR((VLOOKUP(A78,'API - io'!$A:$H,3,0)),"-")</f>
        <v>-</v>
      </c>
      <c r="G78" t="str">
        <f>IFERROR((VLOOKUP(A78,'API - io'!$A:$G,4,0)),"-")</f>
        <v>-</v>
      </c>
      <c r="H78" t="str">
        <f>IFERROR((VLOOKUP(A78,'API - io'!$A:$G,5,0)),"-")</f>
        <v>-</v>
      </c>
      <c r="I78" t="str">
        <f>IFERROR((VLOOKUP(A78,'API - io'!$A:$G,6,0)),"-")</f>
        <v>-</v>
      </c>
      <c r="J78" t="str">
        <f>IFERROR((VLOOKUP(A78,'API - io'!$A:$G,7,0)),"-")</f>
        <v>-</v>
      </c>
    </row>
    <row r="79" spans="3:10" x14ac:dyDescent="0.3">
      <c r="C79" s="1"/>
      <c r="E79" t="str">
        <f>IFERROR((VLOOKUP(A79,'API - io'!$A:$H,5,0)),"-")</f>
        <v>-</v>
      </c>
      <c r="F79" t="str">
        <f>IFERROR((VLOOKUP(A79,'API - io'!$A:$H,3,0)),"-")</f>
        <v>-</v>
      </c>
      <c r="G79" t="str">
        <f>IFERROR((VLOOKUP(A79,'API - io'!$A:$G,4,0)),"-")</f>
        <v>-</v>
      </c>
      <c r="H79" t="str">
        <f>IFERROR((VLOOKUP(A79,'API - io'!$A:$G,5,0)),"-")</f>
        <v>-</v>
      </c>
      <c r="I79" t="str">
        <f>IFERROR((VLOOKUP(A79,'API - io'!$A:$G,6,0)),"-")</f>
        <v>-</v>
      </c>
      <c r="J79" t="str">
        <f>IFERROR((VLOOKUP(A79,'API - io'!$A:$G,7,0)),"-")</f>
        <v>-</v>
      </c>
    </row>
    <row r="80" spans="3:10" x14ac:dyDescent="0.3">
      <c r="C80" s="1"/>
      <c r="E80" t="str">
        <f>IFERROR((VLOOKUP(A80,'API - io'!$A:$H,5,0)),"-")</f>
        <v>-</v>
      </c>
      <c r="F80" t="str">
        <f>IFERROR((VLOOKUP(A80,'API - io'!$A:$H,3,0)),"-")</f>
        <v>-</v>
      </c>
      <c r="G80" t="str">
        <f>IFERROR((VLOOKUP(A80,'API - io'!$A:$G,4,0)),"-")</f>
        <v>-</v>
      </c>
      <c r="H80" t="str">
        <f>IFERROR((VLOOKUP(A80,'API - io'!$A:$G,5,0)),"-")</f>
        <v>-</v>
      </c>
      <c r="I80" t="str">
        <f>IFERROR((VLOOKUP(A80,'API - io'!$A:$G,6,0)),"-")</f>
        <v>-</v>
      </c>
      <c r="J80" t="str">
        <f>IFERROR((VLOOKUP(A80,'API - io'!$A:$G,7,0)),"-")</f>
        <v>-</v>
      </c>
    </row>
    <row r="81" spans="3:10" x14ac:dyDescent="0.3">
      <c r="C81" s="1"/>
      <c r="E81" t="str">
        <f>IFERROR((VLOOKUP(A81,'API - io'!$A:$H,5,0)),"-")</f>
        <v>-</v>
      </c>
      <c r="F81" t="str">
        <f>IFERROR((VLOOKUP(A81,'API - io'!$A:$H,3,0)),"-")</f>
        <v>-</v>
      </c>
      <c r="G81" t="str">
        <f>IFERROR((VLOOKUP(A81,'API - io'!$A:$G,4,0)),"-")</f>
        <v>-</v>
      </c>
      <c r="H81" t="str">
        <f>IFERROR((VLOOKUP(A81,'API - io'!$A:$G,5,0)),"-")</f>
        <v>-</v>
      </c>
      <c r="I81" t="str">
        <f>IFERROR((VLOOKUP(A81,'API - io'!$A:$G,6,0)),"-")</f>
        <v>-</v>
      </c>
      <c r="J81" t="str">
        <f>IFERROR((VLOOKUP(A81,'API - io'!$A:$G,7,0)),"-")</f>
        <v>-</v>
      </c>
    </row>
    <row r="82" spans="3:10" x14ac:dyDescent="0.3">
      <c r="C82" s="1"/>
      <c r="E82" t="str">
        <f>IFERROR((VLOOKUP(A82,'API - io'!$A:$H,5,0)),"-")</f>
        <v>-</v>
      </c>
      <c r="F82" t="str">
        <f>IFERROR((VLOOKUP(A82,'API - io'!$A:$H,3,0)),"-")</f>
        <v>-</v>
      </c>
      <c r="G82" t="str">
        <f>IFERROR((VLOOKUP(A82,'API - io'!$A:$G,4,0)),"-")</f>
        <v>-</v>
      </c>
      <c r="H82" t="str">
        <f>IFERROR((VLOOKUP(A82,'API - io'!$A:$G,5,0)),"-")</f>
        <v>-</v>
      </c>
      <c r="I82" t="str">
        <f>IFERROR((VLOOKUP(A82,'API - io'!$A:$G,6,0)),"-")</f>
        <v>-</v>
      </c>
      <c r="J82" t="str">
        <f>IFERROR((VLOOKUP(A82,'API - io'!$A:$G,7,0)),"-")</f>
        <v>-</v>
      </c>
    </row>
    <row r="83" spans="3:10" x14ac:dyDescent="0.3">
      <c r="C83" s="1"/>
      <c r="E83" t="str">
        <f>IFERROR((VLOOKUP(A83,'API - io'!$A:$H,5,0)),"-")</f>
        <v>-</v>
      </c>
      <c r="F83" t="str">
        <f>IFERROR((VLOOKUP(A83,'API - io'!$A:$H,3,0)),"-")</f>
        <v>-</v>
      </c>
      <c r="G83" t="str">
        <f>IFERROR((VLOOKUP(A83,'API - io'!$A:$G,4,0)),"-")</f>
        <v>-</v>
      </c>
      <c r="H83" t="str">
        <f>IFERROR((VLOOKUP(A83,'API - io'!$A:$G,5,0)),"-")</f>
        <v>-</v>
      </c>
      <c r="I83" t="str">
        <f>IFERROR((VLOOKUP(A83,'API - io'!$A:$G,6,0)),"-")</f>
        <v>-</v>
      </c>
      <c r="J83" t="str">
        <f>IFERROR((VLOOKUP(A83,'API - io'!$A:$G,7,0)),"-")</f>
        <v>-</v>
      </c>
    </row>
    <row r="84" spans="3:10" x14ac:dyDescent="0.3">
      <c r="C84" s="1"/>
      <c r="E84" t="str">
        <f>IFERROR((VLOOKUP(A84,'API - io'!$A:$H,5,0)),"-")</f>
        <v>-</v>
      </c>
      <c r="F84" t="str">
        <f>IFERROR((VLOOKUP(A84,'API - io'!$A:$H,3,0)),"-")</f>
        <v>-</v>
      </c>
      <c r="G84" t="str">
        <f>IFERROR((VLOOKUP(A84,'API - io'!$A:$G,4,0)),"-")</f>
        <v>-</v>
      </c>
      <c r="H84" t="str">
        <f>IFERROR((VLOOKUP(A84,'API - io'!$A:$G,5,0)),"-")</f>
        <v>-</v>
      </c>
      <c r="I84" t="str">
        <f>IFERROR((VLOOKUP(A84,'API - io'!$A:$G,6,0)),"-")</f>
        <v>-</v>
      </c>
      <c r="J84" t="str">
        <f>IFERROR((VLOOKUP(A84,'API - io'!$A:$G,7,0)),"-")</f>
        <v>-</v>
      </c>
    </row>
    <row r="85" spans="3:10" x14ac:dyDescent="0.3">
      <c r="C85" s="1"/>
      <c r="E85" t="str">
        <f>IFERROR((VLOOKUP(A85,'API - io'!$A:$H,5,0)),"-")</f>
        <v>-</v>
      </c>
      <c r="F85" t="str">
        <f>IFERROR((VLOOKUP(A85,'API - io'!$A:$H,3,0)),"-")</f>
        <v>-</v>
      </c>
      <c r="G85" t="str">
        <f>IFERROR((VLOOKUP(A85,'API - io'!$A:$G,4,0)),"-")</f>
        <v>-</v>
      </c>
      <c r="H85" t="str">
        <f>IFERROR((VLOOKUP(A85,'API - io'!$A:$G,5,0)),"-")</f>
        <v>-</v>
      </c>
      <c r="I85" t="str">
        <f>IFERROR((VLOOKUP(A85,'API - io'!$A:$G,6,0)),"-")</f>
        <v>-</v>
      </c>
      <c r="J85" t="str">
        <f>IFERROR((VLOOKUP(A85,'API - io'!$A:$G,7,0)),"-")</f>
        <v>-</v>
      </c>
    </row>
    <row r="86" spans="3:10" x14ac:dyDescent="0.3">
      <c r="C86" s="1"/>
      <c r="E86" t="str">
        <f>IFERROR((VLOOKUP(A86,'API - io'!$A:$H,5,0)),"-")</f>
        <v>-</v>
      </c>
      <c r="F86" t="str">
        <f>IFERROR((VLOOKUP(A86,'API - io'!$A:$H,3,0)),"-")</f>
        <v>-</v>
      </c>
      <c r="G86" t="str">
        <f>IFERROR((VLOOKUP(A86,'API - io'!$A:$G,4,0)),"-")</f>
        <v>-</v>
      </c>
      <c r="H86" t="str">
        <f>IFERROR((VLOOKUP(A86,'API - io'!$A:$G,5,0)),"-")</f>
        <v>-</v>
      </c>
      <c r="I86" t="str">
        <f>IFERROR((VLOOKUP(A86,'API - io'!$A:$G,6,0)),"-")</f>
        <v>-</v>
      </c>
      <c r="J86" t="str">
        <f>IFERROR((VLOOKUP(A86,'API - io'!$A:$G,7,0)),"-")</f>
        <v>-</v>
      </c>
    </row>
    <row r="87" spans="3:10" x14ac:dyDescent="0.3">
      <c r="C87" s="1"/>
      <c r="E87" t="str">
        <f>IFERROR((VLOOKUP(A87,'API - io'!$A:$H,5,0)),"-")</f>
        <v>-</v>
      </c>
      <c r="F87" t="str">
        <f>IFERROR((VLOOKUP(A87,'API - io'!$A:$H,3,0)),"-")</f>
        <v>-</v>
      </c>
      <c r="G87" t="str">
        <f>IFERROR((VLOOKUP(A87,'API - io'!$A:$G,4,0)),"-")</f>
        <v>-</v>
      </c>
      <c r="H87" t="str">
        <f>IFERROR((VLOOKUP(A87,'API - io'!$A:$G,5,0)),"-")</f>
        <v>-</v>
      </c>
      <c r="I87" t="str">
        <f>IFERROR((VLOOKUP(A87,'API - io'!$A:$G,6,0)),"-")</f>
        <v>-</v>
      </c>
      <c r="J87" t="str">
        <f>IFERROR((VLOOKUP(A87,'API - io'!$A:$G,7,0)),"-")</f>
        <v>-</v>
      </c>
    </row>
    <row r="88" spans="3:10" x14ac:dyDescent="0.3">
      <c r="C88" s="1"/>
      <c r="E88" t="str">
        <f>IFERROR((VLOOKUP(A88,'API - io'!$A:$H,5,0)),"-")</f>
        <v>-</v>
      </c>
      <c r="F88" t="str">
        <f>IFERROR((VLOOKUP(A88,'API - io'!$A:$H,3,0)),"-")</f>
        <v>-</v>
      </c>
      <c r="G88" t="str">
        <f>IFERROR((VLOOKUP(A88,'API - io'!$A:$G,4,0)),"-")</f>
        <v>-</v>
      </c>
      <c r="H88" t="str">
        <f>IFERROR((VLOOKUP(A88,'API - io'!$A:$G,5,0)),"-")</f>
        <v>-</v>
      </c>
      <c r="I88" t="str">
        <f>IFERROR((VLOOKUP(A88,'API - io'!$A:$G,6,0)),"-")</f>
        <v>-</v>
      </c>
      <c r="J88" t="str">
        <f>IFERROR((VLOOKUP(A88,'API - io'!$A:$G,7,0)),"-")</f>
        <v>-</v>
      </c>
    </row>
    <row r="89" spans="3:10" x14ac:dyDescent="0.3">
      <c r="C89" s="1"/>
      <c r="E89" t="str">
        <f>IFERROR((VLOOKUP(A89,'API - io'!$A:$H,5,0)),"-")</f>
        <v>-</v>
      </c>
      <c r="F89" t="str">
        <f>IFERROR((VLOOKUP(A89,'API - io'!$A:$H,3,0)),"-")</f>
        <v>-</v>
      </c>
      <c r="G89" t="str">
        <f>IFERROR((VLOOKUP(A89,'API - io'!$A:$G,4,0)),"-")</f>
        <v>-</v>
      </c>
      <c r="H89" t="str">
        <f>IFERROR((VLOOKUP(A89,'API - io'!$A:$G,5,0)),"-")</f>
        <v>-</v>
      </c>
      <c r="I89" t="str">
        <f>IFERROR((VLOOKUP(A89,'API - io'!$A:$G,6,0)),"-")</f>
        <v>-</v>
      </c>
      <c r="J89" t="str">
        <f>IFERROR((VLOOKUP(A89,'API - io'!$A:$G,7,0)),"-")</f>
        <v>-</v>
      </c>
    </row>
    <row r="90" spans="3:10" x14ac:dyDescent="0.3">
      <c r="C90" s="1"/>
      <c r="E90" t="str">
        <f>IFERROR((VLOOKUP(A90,'API - io'!$A:$H,5,0)),"-")</f>
        <v>-</v>
      </c>
      <c r="F90" t="str">
        <f>IFERROR((VLOOKUP(A90,'API - io'!$A:$H,3,0)),"-")</f>
        <v>-</v>
      </c>
      <c r="G90" t="str">
        <f>IFERROR((VLOOKUP(A90,'API - io'!$A:$G,4,0)),"-")</f>
        <v>-</v>
      </c>
      <c r="H90" t="str">
        <f>IFERROR((VLOOKUP(A90,'API - io'!$A:$G,5,0)),"-")</f>
        <v>-</v>
      </c>
      <c r="I90" t="str">
        <f>IFERROR((VLOOKUP(A90,'API - io'!$A:$G,6,0)),"-")</f>
        <v>-</v>
      </c>
      <c r="J90" t="str">
        <f>IFERROR((VLOOKUP(A90,'API - io'!$A:$G,7,0)),"-")</f>
        <v>-</v>
      </c>
    </row>
    <row r="91" spans="3:10" x14ac:dyDescent="0.3">
      <c r="C91" s="1"/>
      <c r="E91" t="str">
        <f>IFERROR((VLOOKUP(A91,'API - io'!$A:$H,5,0)),"-")</f>
        <v>-</v>
      </c>
      <c r="F91" t="str">
        <f>IFERROR((VLOOKUP(A91,'API - io'!$A:$H,3,0)),"-")</f>
        <v>-</v>
      </c>
      <c r="G91" t="str">
        <f>IFERROR((VLOOKUP(A91,'API - io'!$A:$G,4,0)),"-")</f>
        <v>-</v>
      </c>
      <c r="H91" t="str">
        <f>IFERROR((VLOOKUP(A91,'API - io'!$A:$G,5,0)),"-")</f>
        <v>-</v>
      </c>
      <c r="I91" t="str">
        <f>IFERROR((VLOOKUP(A91,'API - io'!$A:$G,6,0)),"-")</f>
        <v>-</v>
      </c>
      <c r="J91" t="str">
        <f>IFERROR((VLOOKUP(A91,'API - io'!$A:$G,7,0)),"-")</f>
        <v>-</v>
      </c>
    </row>
    <row r="92" spans="3:10" x14ac:dyDescent="0.3">
      <c r="C92" s="1"/>
      <c r="E92" t="str">
        <f>IFERROR((VLOOKUP(A92,'API - io'!$A:$H,5,0)),"-")</f>
        <v>-</v>
      </c>
      <c r="F92" t="str">
        <f>IFERROR((VLOOKUP(A92,'API - io'!$A:$H,3,0)),"-")</f>
        <v>-</v>
      </c>
      <c r="G92" t="str">
        <f>IFERROR((VLOOKUP(A92,'API - io'!$A:$G,4,0)),"-")</f>
        <v>-</v>
      </c>
      <c r="H92" t="str">
        <f>IFERROR((VLOOKUP(A92,'API - io'!$A:$G,5,0)),"-")</f>
        <v>-</v>
      </c>
      <c r="I92" t="str">
        <f>IFERROR((VLOOKUP(A92,'API - io'!$A:$G,6,0)),"-")</f>
        <v>-</v>
      </c>
      <c r="J92" t="str">
        <f>IFERROR((VLOOKUP(A92,'API - io'!$A:$G,7,0)),"-")</f>
        <v>-</v>
      </c>
    </row>
    <row r="93" spans="3:10" x14ac:dyDescent="0.3">
      <c r="C93" s="1"/>
      <c r="E93" t="str">
        <f>IFERROR((VLOOKUP(A93,'API - io'!$A:$H,5,0)),"-")</f>
        <v>-</v>
      </c>
      <c r="F93" t="str">
        <f>IFERROR((VLOOKUP(A93,'API - io'!$A:$H,3,0)),"-")</f>
        <v>-</v>
      </c>
      <c r="G93" t="str">
        <f>IFERROR((VLOOKUP(A93,'API - io'!$A:$G,4,0)),"-")</f>
        <v>-</v>
      </c>
      <c r="H93" t="str">
        <f>IFERROR((VLOOKUP(A93,'API - io'!$A:$G,5,0)),"-")</f>
        <v>-</v>
      </c>
      <c r="I93" t="str">
        <f>IFERROR((VLOOKUP(A93,'API - io'!$A:$G,6,0)),"-")</f>
        <v>-</v>
      </c>
      <c r="J93" t="str">
        <f>IFERROR((VLOOKUP(A93,'API - io'!$A:$G,7,0)),"-")</f>
        <v>-</v>
      </c>
    </row>
    <row r="94" spans="3:10" x14ac:dyDescent="0.3">
      <c r="C94" s="1"/>
      <c r="E94" t="str">
        <f>IFERROR((VLOOKUP(A94,'API - io'!$A:$H,5,0)),"-")</f>
        <v>-</v>
      </c>
      <c r="F94" t="str">
        <f>IFERROR((VLOOKUP(A94,'API - io'!$A:$H,3,0)),"-")</f>
        <v>-</v>
      </c>
      <c r="G94" t="str">
        <f>IFERROR((VLOOKUP(A94,'API - io'!$A:$G,4,0)),"-")</f>
        <v>-</v>
      </c>
      <c r="H94" t="str">
        <f>IFERROR((VLOOKUP(A94,'API - io'!$A:$G,5,0)),"-")</f>
        <v>-</v>
      </c>
      <c r="I94" t="str">
        <f>IFERROR((VLOOKUP(A94,'API - io'!$A:$G,6,0)),"-")</f>
        <v>-</v>
      </c>
      <c r="J94" t="str">
        <f>IFERROR((VLOOKUP(A94,'API - io'!$A:$G,7,0)),"-")</f>
        <v>-</v>
      </c>
    </row>
    <row r="95" spans="3:10" x14ac:dyDescent="0.3">
      <c r="C95" s="1"/>
      <c r="E95" t="str">
        <f>IFERROR((VLOOKUP(A95,'API - io'!$A:$H,5,0)),"-")</f>
        <v>-</v>
      </c>
      <c r="F95" t="str">
        <f>IFERROR((VLOOKUP(A95,'API - io'!$A:$H,3,0)),"-")</f>
        <v>-</v>
      </c>
      <c r="G95" t="str">
        <f>IFERROR((VLOOKUP(A95,'API - io'!$A:$G,4,0)),"-")</f>
        <v>-</v>
      </c>
      <c r="H95" t="str">
        <f>IFERROR((VLOOKUP(A95,'API - io'!$A:$G,5,0)),"-")</f>
        <v>-</v>
      </c>
      <c r="I95" t="str">
        <f>IFERROR((VLOOKUP(A95,'API - io'!$A:$G,6,0)),"-")</f>
        <v>-</v>
      </c>
      <c r="J95" t="str">
        <f>IFERROR((VLOOKUP(A95,'API - io'!$A:$G,7,0)),"-")</f>
        <v>-</v>
      </c>
    </row>
    <row r="96" spans="3:10" x14ac:dyDescent="0.3">
      <c r="C96" s="1"/>
      <c r="E96" t="str">
        <f>IFERROR((VLOOKUP(A96,'API - io'!$A:$H,5,0)),"-")</f>
        <v>-</v>
      </c>
      <c r="F96" t="str">
        <f>IFERROR((VLOOKUP(A96,'API - io'!$A:$H,3,0)),"-")</f>
        <v>-</v>
      </c>
      <c r="G96" t="str">
        <f>IFERROR((VLOOKUP(A96,'API - io'!$A:$G,4,0)),"-")</f>
        <v>-</v>
      </c>
      <c r="H96" t="str">
        <f>IFERROR((VLOOKUP(A96,'API - io'!$A:$G,5,0)),"-")</f>
        <v>-</v>
      </c>
      <c r="I96" t="str">
        <f>IFERROR((VLOOKUP(A96,'API - io'!$A:$G,6,0)),"-")</f>
        <v>-</v>
      </c>
      <c r="J96" t="str">
        <f>IFERROR((VLOOKUP(A96,'API - io'!$A:$G,7,0)),"-")</f>
        <v>-</v>
      </c>
    </row>
    <row r="97" spans="3:10" x14ac:dyDescent="0.3">
      <c r="C97" s="1"/>
      <c r="E97" t="str">
        <f>IFERROR((VLOOKUP(A97,'API - io'!$A:$H,5,0)),"-")</f>
        <v>-</v>
      </c>
      <c r="F97" t="str">
        <f>IFERROR((VLOOKUP(A97,'API - io'!$A:$H,3,0)),"-")</f>
        <v>-</v>
      </c>
      <c r="G97" t="str">
        <f>IFERROR((VLOOKUP(A97,'API - io'!$A:$G,4,0)),"-")</f>
        <v>-</v>
      </c>
      <c r="H97" t="str">
        <f>IFERROR((VLOOKUP(A97,'API - io'!$A:$G,5,0)),"-")</f>
        <v>-</v>
      </c>
      <c r="I97" t="str">
        <f>IFERROR((VLOOKUP(A97,'API - io'!$A:$G,6,0)),"-")</f>
        <v>-</v>
      </c>
      <c r="J97" t="str">
        <f>IFERROR((VLOOKUP(A97,'API - io'!$A:$G,7,0)),"-")</f>
        <v>-</v>
      </c>
    </row>
    <row r="98" spans="3:10" x14ac:dyDescent="0.3">
      <c r="C98" s="1"/>
      <c r="E98" t="str">
        <f>IFERROR((VLOOKUP(A98,'API - io'!$A:$H,5,0)),"-")</f>
        <v>-</v>
      </c>
      <c r="F98" t="str">
        <f>IFERROR((VLOOKUP(A98,'API - io'!$A:$H,3,0)),"-")</f>
        <v>-</v>
      </c>
      <c r="G98" t="str">
        <f>IFERROR((VLOOKUP(A98,'API - io'!$A:$G,4,0)),"-")</f>
        <v>-</v>
      </c>
      <c r="H98" t="str">
        <f>IFERROR((VLOOKUP(A98,'API - io'!$A:$G,5,0)),"-")</f>
        <v>-</v>
      </c>
      <c r="I98" t="str">
        <f>IFERROR((VLOOKUP(A98,'API - io'!$A:$G,6,0)),"-")</f>
        <v>-</v>
      </c>
      <c r="J98" t="str">
        <f>IFERROR((VLOOKUP(A98,'API - io'!$A:$G,7,0)),"-")</f>
        <v>-</v>
      </c>
    </row>
    <row r="99" spans="3:10" x14ac:dyDescent="0.3">
      <c r="C99" s="1"/>
      <c r="E99" t="str">
        <f>IFERROR((VLOOKUP(A99,'API - io'!$A:$H,5,0)),"-")</f>
        <v>-</v>
      </c>
      <c r="F99" t="str">
        <f>IFERROR((VLOOKUP(A99,'API - io'!$A:$H,3,0)),"-")</f>
        <v>-</v>
      </c>
      <c r="G99" t="str">
        <f>IFERROR((VLOOKUP(A99,'API - io'!$A:$G,4,0)),"-")</f>
        <v>-</v>
      </c>
      <c r="H99" t="str">
        <f>IFERROR((VLOOKUP(A99,'API - io'!$A:$G,5,0)),"-")</f>
        <v>-</v>
      </c>
      <c r="I99" t="str">
        <f>IFERROR((VLOOKUP(A99,'API - io'!$A:$G,6,0)),"-")</f>
        <v>-</v>
      </c>
      <c r="J99" t="str">
        <f>IFERROR((VLOOKUP(A99,'API - io'!$A:$G,7,0)),"-")</f>
        <v>-</v>
      </c>
    </row>
    <row r="100" spans="3:10" x14ac:dyDescent="0.3">
      <c r="C100" s="1"/>
      <c r="E100" t="str">
        <f>IFERROR((VLOOKUP(A100,'API - io'!$A:$H,5,0)),"-")</f>
        <v>-</v>
      </c>
      <c r="F100" t="str">
        <f>IFERROR((VLOOKUP(A100,'API - io'!$A:$H,3,0)),"-")</f>
        <v>-</v>
      </c>
      <c r="G100" t="str">
        <f>IFERROR((VLOOKUP(A100,'API - io'!$A:$G,4,0)),"-")</f>
        <v>-</v>
      </c>
      <c r="H100" t="str">
        <f>IFERROR((VLOOKUP(A100,'API - io'!$A:$G,5,0)),"-")</f>
        <v>-</v>
      </c>
      <c r="I100" t="str">
        <f>IFERROR((VLOOKUP(A100,'API - io'!$A:$G,6,0)),"-")</f>
        <v>-</v>
      </c>
      <c r="J100" t="str">
        <f>IFERROR((VLOOKUP(A100,'API - io'!$A:$G,7,0)),"-")</f>
        <v>-</v>
      </c>
    </row>
  </sheetData>
  <hyperlinks>
    <hyperlink ref="I2" r:id="rId1" display="https://cdn.vietqr.io/img/ABB.png" xr:uid="{A736BAC9-60DF-4FD9-8691-3E1611B7D304}"/>
    <hyperlink ref="I3" r:id="rId2" display="https://cdn.vietqr.io/img/ABB.png" xr:uid="{F0530477-D574-4DF7-8D42-DF853CB0590F}"/>
    <hyperlink ref="I4" r:id="rId3" display="https://cdn.vietqr.io/img/ABB.png" xr:uid="{273F6283-649D-484E-A4C7-29A59CCA0C7D}"/>
    <hyperlink ref="I5" r:id="rId4" display="https://cdn.vietqr.io/img/ABB.png" xr:uid="{A41E4240-BCEF-479C-BEAB-B8D3AED48653}"/>
    <hyperlink ref="I6" r:id="rId5" display="https://cdn.vietqr.io/img/ABB.png" xr:uid="{D8025520-9FF4-42A2-BE55-6D41131FE8DA}"/>
    <hyperlink ref="I7" r:id="rId6" display="https://cdn.vietqr.io/img/ABB.png" xr:uid="{60521FBE-C7B3-453E-BB18-CC04410C8706}"/>
    <hyperlink ref="I8" r:id="rId7" display="https://cdn.vietqr.io/img/ABB.png" xr:uid="{B897AB61-5820-4D49-8698-B0785B135C65}"/>
    <hyperlink ref="I9" r:id="rId8" display="https://cdn.vietqr.io/img/ABB.png" xr:uid="{4C5BEC92-1284-4EF0-9797-DAF2888C3239}"/>
    <hyperlink ref="I10" r:id="rId9" display="https://cdn.vietqr.io/img/ABB.png" xr:uid="{16A340E0-A969-42AC-B426-CD91AA4C6A22}"/>
    <hyperlink ref="I11" r:id="rId10" display="https://cdn.vietqr.io/img/ABB.png" xr:uid="{45D085AB-567B-4467-9F84-02C5A6EF9F64}"/>
    <hyperlink ref="I12" r:id="rId11" display="https://cdn.vietqr.io/img/ABB.png" xr:uid="{F68827AF-5262-4CBB-82F5-09D83C30279A}"/>
    <hyperlink ref="I13" r:id="rId12" display="https://cdn.vietqr.io/img/ABB.png" xr:uid="{33ABCA84-678F-4A16-89A7-096BFC44BDB5}"/>
    <hyperlink ref="I14" r:id="rId13" display="https://cdn.vietqr.io/img/ABB.png" xr:uid="{CBBB603B-0E17-497D-BC3C-FD2F20D965CF}"/>
    <hyperlink ref="I15" r:id="rId14" display="https://cdn.vietqr.io/img/ABB.png" xr:uid="{1F60E6C7-E7AB-473F-92F5-37A065BAA452}"/>
    <hyperlink ref="I16" r:id="rId15" display="https://cdn.vietqr.io/img/ABB.png" xr:uid="{8F63AA06-BACF-40F8-9E1F-B60E3DB8C718}"/>
    <hyperlink ref="I17" r:id="rId16" display="https://cdn.vietqr.io/img/ABB.png" xr:uid="{58919ADB-DC6B-4497-A599-63D967BE9450}"/>
    <hyperlink ref="I18" r:id="rId17" display="https://cdn.vietqr.io/img/ABB.png" xr:uid="{AF25DCC2-60B4-476A-9D89-EE7FEDEEB320}"/>
    <hyperlink ref="I19" r:id="rId18" display="https://cdn.vietqr.io/img/ABB.png" xr:uid="{E5492BB1-8B91-4AF1-9FA4-8E3F2EB92B7D}"/>
    <hyperlink ref="I20" r:id="rId19" display="https://cdn.vietqr.io/img/ABB.png" xr:uid="{1AD2F0AC-9999-41C7-8CCD-878937BF3BC4}"/>
    <hyperlink ref="I21" r:id="rId20" display="https://cdn.vietqr.io/img/ABB.png" xr:uid="{12DCE658-4B8C-4CDD-B226-6E1EA9FD191B}"/>
    <hyperlink ref="I22" r:id="rId21" display="https://cdn.vietqr.io/img/ABB.png" xr:uid="{B8EABC92-D4D3-4189-BC96-CB1A3271860E}"/>
    <hyperlink ref="I23" r:id="rId22" display="https://cdn.vietqr.io/img/ABB.png" xr:uid="{62E7D2AB-E43B-493F-AEDD-B0619ED09DF7}"/>
    <hyperlink ref="I24" r:id="rId23" display="https://cdn.vietqr.io/img/ABB.png" xr:uid="{8C06C5D7-E81B-4778-95D4-44C1B58D3A54}"/>
    <hyperlink ref="I25" r:id="rId24" display="https://cdn.vietqr.io/img/ABB.png" xr:uid="{1BAA07EF-8CD1-4856-8621-3707FC37DF29}"/>
    <hyperlink ref="I26" r:id="rId25" display="https://cdn.vietqr.io/img/ABB.png" xr:uid="{7F9E10C8-BE5C-4D92-BCDB-FFC1A9DA7C88}"/>
    <hyperlink ref="I27" r:id="rId26" display="https://cdn.vietqr.io/img/ABB.png" xr:uid="{D4B631DA-6915-496E-AE37-F8B5BF78DBAF}"/>
    <hyperlink ref="I28" r:id="rId27" display="https://cdn.vietqr.io/img/ABB.png" xr:uid="{129932F5-709C-421C-8E68-2C34AAF2E941}"/>
    <hyperlink ref="I29" r:id="rId28" display="https://cdn.vietqr.io/img/ABB.png" xr:uid="{54EF08EA-9A4A-4FF1-9A1A-22A92B55F4C7}"/>
    <hyperlink ref="I30" r:id="rId29" display="https://cdn.vietqr.io/img/ABB.png" xr:uid="{5340CAF9-AE26-4B42-B17B-96BD3640EEC9}"/>
    <hyperlink ref="I31" r:id="rId30" display="https://cdn.vietqr.io/img/ABB.png" xr:uid="{0A597762-5C41-491C-BC67-5E7F21FFBB28}"/>
    <hyperlink ref="I32" r:id="rId31" display="https://cdn.vietqr.io/img/ABB.png" xr:uid="{9276FF84-EFA3-40FF-8DD5-6700939BCFF9}"/>
    <hyperlink ref="I33" r:id="rId32" display="https://cdn.vietqr.io/img/ABB.png" xr:uid="{B5A00277-4BC3-4D1F-977A-B28A51DD1843}"/>
    <hyperlink ref="I34" r:id="rId33" display="https://cdn.vietqr.io/img/ABB.png" xr:uid="{55F7A1C5-B489-4313-B347-7936704F1C98}"/>
    <hyperlink ref="I35" r:id="rId34" display="https://cdn.vietqr.io/img/ABB.png" xr:uid="{846BE347-040D-4761-B5EB-6DD56D05AFF5}"/>
    <hyperlink ref="I36" r:id="rId35" display="https://cdn.vietqr.io/img/ABB.png" xr:uid="{DB493597-178F-4719-A52B-158DECC614D1}"/>
    <hyperlink ref="I37" r:id="rId36" display="https://cdn.vietqr.io/img/ABB.png" xr:uid="{E109D920-06B3-41ED-A9B5-7AB2D4F1EDFA}"/>
    <hyperlink ref="I38" r:id="rId37" display="https://cdn.vietqr.io/img/ABB.png" xr:uid="{8B9A3E9D-8469-4F0E-8CD1-A2F076F36BAF}"/>
    <hyperlink ref="I39" r:id="rId38" display="https://cdn.vietqr.io/img/ABB.png" xr:uid="{2D026533-91B8-4C27-BB43-2989C64DDE4D}"/>
    <hyperlink ref="I40" r:id="rId39" display="https://cdn.vietqr.io/img/ABB.png" xr:uid="{D160AAB0-9F97-42CE-A5F5-EA2FF9B071A8}"/>
    <hyperlink ref="I41" r:id="rId40" display="https://cdn.vietqr.io/img/ABB.png" xr:uid="{A11EE06D-C869-4DD9-8AD8-49DE8AF292E0}"/>
    <hyperlink ref="I42" r:id="rId41" display="https://cdn.vietqr.io/img/ABB.png" xr:uid="{52A932FE-7E33-4945-872C-2E984A660094}"/>
    <hyperlink ref="I43" r:id="rId42" display="https://cdn.vietqr.io/img/ABB.png" xr:uid="{5F2F8EAC-3365-4BFA-BA31-674EB781CD47}"/>
    <hyperlink ref="I44" r:id="rId43" display="https://cdn.vietqr.io/img/ABB.png" xr:uid="{68A376B4-3CD7-4D04-8A3F-02823C79ADF0}"/>
    <hyperlink ref="I45" r:id="rId44" display="https://cdn.vietqr.io/img/ABB.png" xr:uid="{AF305C97-1FEC-4319-B5CD-C3B3B0B5A5BC}"/>
    <hyperlink ref="I46" r:id="rId45" display="https://cdn.vietqr.io/img/ABB.png" xr:uid="{D676EC3C-0882-4DE5-81EF-ED95D470665A}"/>
    <hyperlink ref="I47" r:id="rId46" display="https://cdn.vietqr.io/img/ABB.png" xr:uid="{970B51C9-9A74-4402-A5F6-3E224A4EFAE9}"/>
    <hyperlink ref="I48" r:id="rId47" display="https://cdn.vietqr.io/img/ABB.png" xr:uid="{383E60FE-66F0-4BDC-A784-C4BD6EF8D3E5}"/>
    <hyperlink ref="I49" r:id="rId48" display="https://cdn.vietqr.io/img/ABB.png" xr:uid="{71EB0BD5-B7BE-4788-A01D-B1710A1458D0}"/>
    <hyperlink ref="I50" r:id="rId49" display="https://cdn.vietqr.io/img/ABB.png" xr:uid="{74832FDC-DACB-49B6-B84D-364FA34BEE63}"/>
    <hyperlink ref="I51" r:id="rId50" display="https://cdn.vietqr.io/img/ABB.png" xr:uid="{4C73BC4E-0A2B-4BE8-A6EC-DF192CB19750}"/>
    <hyperlink ref="I52" r:id="rId51" display="https://cdn.vietqr.io/img/ABB.png" xr:uid="{0008829D-9F50-4B6D-911B-86BA2D5122B6}"/>
    <hyperlink ref="I53" r:id="rId52" display="https://cdn.vietqr.io/img/ABB.png" xr:uid="{FEEF9362-8118-4B81-B2CD-FA6B59DC4FF1}"/>
    <hyperlink ref="I54" r:id="rId53" display="https://cdn.vietqr.io/img/ABB.png" xr:uid="{1CF3322E-D920-4713-8774-19AEEA2DF2E6}"/>
    <hyperlink ref="I55" r:id="rId54" display="https://cdn.vietqr.io/img/ABB.png" xr:uid="{B9F995AA-DF18-4DD3-997F-FF7D2C7B09E8}"/>
    <hyperlink ref="I56" r:id="rId55" display="https://cdn.vietqr.io/img/ABB.png" xr:uid="{39F9FE12-59A1-48E0-9AE4-E86F7BCD238E}"/>
    <hyperlink ref="I57" r:id="rId56" display="https://cdn.vietqr.io/img/ABB.png" xr:uid="{C8771D77-1163-4E0B-9462-FE2EC847AF5D}"/>
    <hyperlink ref="I58" r:id="rId57" display="https://cdn.vietqr.io/img/ABB.png" xr:uid="{4CF04455-D9C4-4F57-9948-EF6F30D3F377}"/>
    <hyperlink ref="I59" r:id="rId58" display="https://cdn.vietqr.io/img/ABB.png" xr:uid="{E0CDDD97-9444-43EA-8976-D421658673D5}"/>
    <hyperlink ref="I60" r:id="rId59" display="https://cdn.vietqr.io/img/ABB.png" xr:uid="{2AC7A3C2-700B-41FC-BBA0-D7B340615512}"/>
    <hyperlink ref="I61" r:id="rId60" display="https://cdn.vietqr.io/img/ABB.png" xr:uid="{6E1413C3-0255-4BAE-9837-6902F7AD3E24}"/>
    <hyperlink ref="I62" r:id="rId61" display="https://cdn.vietqr.io/img/ABB.png" xr:uid="{75F33EB7-D174-4156-B390-443936E23B8B}"/>
    <hyperlink ref="I63" r:id="rId62" display="https://cdn.vietqr.io/img/ABB.png" xr:uid="{1607A2DA-E241-46CF-9D05-EBC67F0F8B78}"/>
    <hyperlink ref="I64" r:id="rId63" display="https://cdn.vietqr.io/img/ABB.png" xr:uid="{ECA34B61-3DFE-4A70-A642-E76DB3F3B430}"/>
    <hyperlink ref="I65" r:id="rId64" display="https://cdn.vietqr.io/img/ABB.png" xr:uid="{5BF84784-BC3C-4CBD-A840-E727B41C14CA}"/>
    <hyperlink ref="I66" r:id="rId65" display="https://cdn.vietqr.io/img/ABB.png" xr:uid="{EE79F3D1-6128-4208-8438-89D13AA68300}"/>
    <hyperlink ref="I67" r:id="rId66" display="https://cdn.vietqr.io/img/ABB.png" xr:uid="{CBE9A6B6-82D3-4619-976E-73C8F61F6DCD}"/>
    <hyperlink ref="I68" r:id="rId67" display="https://cdn.vietqr.io/img/ABB.png" xr:uid="{3256AF57-41BF-418F-BF53-6BBC7E8F26F5}"/>
    <hyperlink ref="I69" r:id="rId68" display="https://cdn.vietqr.io/img/ABB.png" xr:uid="{CD19C544-D89A-4980-BA54-7E90B0624979}"/>
    <hyperlink ref="I70" r:id="rId69" display="https://cdn.vietqr.io/img/ABB.png" xr:uid="{945249F1-DF87-4B12-89DD-9796C6EF59C8}"/>
    <hyperlink ref="I71" r:id="rId70" display="https://cdn.vietqr.io/img/ABB.png" xr:uid="{8C83FDBB-D4AC-4DD3-B697-332288E2149D}"/>
    <hyperlink ref="I72" r:id="rId71" display="https://cdn.vietqr.io/img/ABB.png" xr:uid="{5E9D8A9D-A297-45D3-B607-8134C069A4C5}"/>
    <hyperlink ref="I73" r:id="rId72" display="https://cdn.vietqr.io/img/ABB.png" xr:uid="{A3CA3A50-8178-4165-A0F0-2A1D178DBC15}"/>
    <hyperlink ref="I74" r:id="rId73" display="https://cdn.vietqr.io/img/ABB.png" xr:uid="{3D31A66C-8427-49D8-923C-74658B721596}"/>
    <hyperlink ref="I75" r:id="rId74" display="https://cdn.vietqr.io/img/ABB.png" xr:uid="{18F662CF-ADB0-47E4-82F8-C5AD9268DEA7}"/>
    <hyperlink ref="I76" r:id="rId75" display="https://cdn.vietqr.io/img/ABB.png" xr:uid="{C9729947-6525-4281-87D8-F1FD561F4BFE}"/>
    <hyperlink ref="I77" r:id="rId76" display="https://cdn.vietqr.io/img/ABB.png" xr:uid="{BDDC023D-8F3A-4790-BCEE-BD63CE15DCD7}"/>
    <hyperlink ref="I78" r:id="rId77" display="https://cdn.vietqr.io/img/ABB.png" xr:uid="{7F62AEA8-2661-4F33-8597-2A2BFFCFE663}"/>
    <hyperlink ref="I79" r:id="rId78" display="https://cdn.vietqr.io/img/ABB.png" xr:uid="{30E834EF-2990-420E-8953-DB2A3372A3EB}"/>
    <hyperlink ref="I80" r:id="rId79" display="https://cdn.vietqr.io/img/ABB.png" xr:uid="{FBB3E5DD-8C8D-40B9-AA8F-FC8E527E3632}"/>
    <hyperlink ref="I81" r:id="rId80" display="https://cdn.vietqr.io/img/ABB.png" xr:uid="{F9459E45-8723-400B-976E-F20A693728C2}"/>
    <hyperlink ref="I82" r:id="rId81" display="https://cdn.vietqr.io/img/ABB.png" xr:uid="{BE770DF8-22E8-4821-ADE9-7385206470B5}"/>
    <hyperlink ref="I83" r:id="rId82" display="https://cdn.vietqr.io/img/ABB.png" xr:uid="{DD07E92A-0F0F-41FF-868A-B1781B195E67}"/>
    <hyperlink ref="I84" r:id="rId83" display="https://cdn.vietqr.io/img/ABB.png" xr:uid="{55B11F17-A4F5-43AC-8309-FBD9C7A22A84}"/>
    <hyperlink ref="I85" r:id="rId84" display="https://cdn.vietqr.io/img/ABB.png" xr:uid="{C821DE14-8627-43FC-AB05-B7D0F6C12E6A}"/>
    <hyperlink ref="I86" r:id="rId85" display="https://cdn.vietqr.io/img/ABB.png" xr:uid="{850B0BE6-93FD-49C8-A9A3-D3F251CAC794}"/>
    <hyperlink ref="I87" r:id="rId86" display="https://cdn.vietqr.io/img/ABB.png" xr:uid="{6F37F144-320C-4A37-A342-381C64BDB7A3}"/>
    <hyperlink ref="I88" r:id="rId87" display="https://cdn.vietqr.io/img/ABB.png" xr:uid="{4C25CDF5-9BA1-4D29-B574-7ECFD10E1F7E}"/>
    <hyperlink ref="I89" r:id="rId88" display="https://cdn.vietqr.io/img/ABB.png" xr:uid="{B8316516-7366-49A6-BAF4-D00469C26FE3}"/>
    <hyperlink ref="I90" r:id="rId89" display="https://cdn.vietqr.io/img/ABB.png" xr:uid="{9912C1D8-BE91-48DE-84DC-1EBE1F5930B8}"/>
    <hyperlink ref="I91" r:id="rId90" display="https://cdn.vietqr.io/img/ABB.png" xr:uid="{8A6EE7E2-0E14-43F5-9FD7-07EB06ED1AB1}"/>
    <hyperlink ref="I92" r:id="rId91" display="https://cdn.vietqr.io/img/ABB.png" xr:uid="{1360511B-DB14-4D94-B2FB-30EC5250FE06}"/>
    <hyperlink ref="I93" r:id="rId92" display="https://cdn.vietqr.io/img/ABB.png" xr:uid="{483B41F2-F38E-48D7-A5DF-EC852D2CDB30}"/>
    <hyperlink ref="I94" r:id="rId93" display="https://cdn.vietqr.io/img/ABB.png" xr:uid="{A6D28E6A-33A4-4CB2-BC40-A482115A4D3E}"/>
    <hyperlink ref="I95" r:id="rId94" display="https://cdn.vietqr.io/img/ABB.png" xr:uid="{45E15F1C-773C-46F4-A0F4-CAFA665DB9D4}"/>
    <hyperlink ref="I96" r:id="rId95" display="https://cdn.vietqr.io/img/ABB.png" xr:uid="{111F1A8F-B1BB-4DCD-9364-A170B2E27D63}"/>
    <hyperlink ref="I97" r:id="rId96" display="https://cdn.vietqr.io/img/ABB.png" xr:uid="{FFED413A-2AB9-49AC-8D6B-9A48EF7B9328}"/>
    <hyperlink ref="I98" r:id="rId97" display="https://cdn.vietqr.io/img/ABB.png" xr:uid="{13D9C0FA-6DC3-4A53-8FFB-39A05D5DCC34}"/>
    <hyperlink ref="I99" r:id="rId98" display="https://cdn.vietqr.io/img/ABB.png" xr:uid="{550CBE30-E716-482C-8E3B-B90B0E17CBBA}"/>
    <hyperlink ref="I100" r:id="rId99" display="https://cdn.vietqr.io/img/ABB.png" xr:uid="{E5F2760B-3918-4B77-B8F8-66F3A483A2D5}"/>
  </hyperlinks>
  <pageMargins left="0.7" right="0.7" top="0.75" bottom="0.75" header="0.3" footer="0.3"/>
  <pageSetup orientation="portrait" r:id="rId100"/>
  <ignoredErrors>
    <ignoredError sqref="A1:J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66"/>
  <sheetViews>
    <sheetView topLeftCell="A15" workbookViewId="0">
      <selection activeCell="B40" sqref="B40"/>
    </sheetView>
  </sheetViews>
  <sheetFormatPr defaultRowHeight="15.6" x14ac:dyDescent="0.3"/>
  <cols>
    <col min="1" max="1" width="8.296875" bestFit="1" customWidth="1"/>
    <col min="2" max="2" width="75" bestFit="1" customWidth="1"/>
    <col min="3" max="3" width="13" bestFit="1" customWidth="1"/>
    <col min="4" max="4" width="9.3984375" bestFit="1" customWidth="1"/>
    <col min="5" max="5" width="17.09765625" bestFit="1" customWidth="1"/>
    <col min="6" max="6" width="51.59765625" bestFit="1" customWidth="1"/>
    <col min="7" max="7" width="17.09765625" bestFit="1" customWidth="1"/>
    <col min="8" max="8" width="9" bestFit="1" customWidth="1"/>
  </cols>
  <sheetData>
    <row r="1" spans="1:8" x14ac:dyDescent="0.3">
      <c r="A1" t="s">
        <v>0</v>
      </c>
      <c r="B1" t="s">
        <v>4</v>
      </c>
      <c r="C1" t="s">
        <v>5</v>
      </c>
      <c r="D1" t="s">
        <v>6</v>
      </c>
      <c r="E1" t="s">
        <v>7</v>
      </c>
      <c r="F1" t="s">
        <v>8</v>
      </c>
      <c r="G1" t="s">
        <v>9</v>
      </c>
      <c r="H1" t="s">
        <v>257</v>
      </c>
    </row>
    <row r="2" spans="1:8" x14ac:dyDescent="0.3">
      <c r="A2">
        <v>1</v>
      </c>
      <c r="B2" t="s">
        <v>11</v>
      </c>
      <c r="C2" t="s">
        <v>12</v>
      </c>
      <c r="D2">
        <v>970425</v>
      </c>
      <c r="E2" t="s">
        <v>13</v>
      </c>
      <c r="F2" t="s">
        <v>14</v>
      </c>
      <c r="G2" t="s">
        <v>13</v>
      </c>
      <c r="H2" t="s">
        <v>28</v>
      </c>
    </row>
    <row r="3" spans="1:8" x14ac:dyDescent="0.3">
      <c r="A3">
        <v>2</v>
      </c>
      <c r="B3" t="s">
        <v>16</v>
      </c>
      <c r="C3" t="s">
        <v>17</v>
      </c>
      <c r="D3">
        <v>970416</v>
      </c>
      <c r="E3" t="s">
        <v>17</v>
      </c>
      <c r="F3" t="s">
        <v>18</v>
      </c>
      <c r="G3" t="s">
        <v>17</v>
      </c>
      <c r="H3" t="s">
        <v>15</v>
      </c>
    </row>
    <row r="4" spans="1:8" x14ac:dyDescent="0.3">
      <c r="A4">
        <v>3</v>
      </c>
      <c r="B4" t="s">
        <v>20</v>
      </c>
      <c r="C4" t="s">
        <v>21</v>
      </c>
      <c r="D4">
        <v>970409</v>
      </c>
      <c r="E4" t="s">
        <v>22</v>
      </c>
      <c r="F4" t="s">
        <v>23</v>
      </c>
      <c r="G4" t="s">
        <v>22</v>
      </c>
      <c r="H4" t="s">
        <v>19</v>
      </c>
    </row>
    <row r="5" spans="1:8" x14ac:dyDescent="0.3">
      <c r="A5">
        <v>4</v>
      </c>
      <c r="B5" t="s">
        <v>25</v>
      </c>
      <c r="C5" t="s">
        <v>26</v>
      </c>
      <c r="D5">
        <v>970418</v>
      </c>
      <c r="E5" t="s">
        <v>26</v>
      </c>
      <c r="F5" t="s">
        <v>27</v>
      </c>
      <c r="G5" t="s">
        <v>26</v>
      </c>
      <c r="H5" t="s">
        <v>24</v>
      </c>
    </row>
    <row r="6" spans="1:8" x14ac:dyDescent="0.3">
      <c r="A6">
        <v>5</v>
      </c>
      <c r="B6" t="s">
        <v>29</v>
      </c>
      <c r="C6" t="s">
        <v>30</v>
      </c>
      <c r="D6">
        <v>970438</v>
      </c>
      <c r="E6" t="s">
        <v>31</v>
      </c>
      <c r="F6" t="s">
        <v>32</v>
      </c>
      <c r="G6" t="s">
        <v>31</v>
      </c>
      <c r="H6" t="s">
        <v>33</v>
      </c>
    </row>
    <row r="7" spans="1:8" x14ac:dyDescent="0.3">
      <c r="A7">
        <v>6</v>
      </c>
      <c r="B7" t="s">
        <v>34</v>
      </c>
      <c r="C7" t="s">
        <v>35</v>
      </c>
      <c r="D7">
        <v>970444</v>
      </c>
      <c r="E7" t="s">
        <v>36</v>
      </c>
      <c r="F7" t="s">
        <v>37</v>
      </c>
      <c r="G7" t="s">
        <v>36</v>
      </c>
    </row>
    <row r="8" spans="1:8" x14ac:dyDescent="0.3">
      <c r="A8">
        <v>7</v>
      </c>
      <c r="B8" t="s">
        <v>38</v>
      </c>
      <c r="C8" t="s">
        <v>39</v>
      </c>
      <c r="D8">
        <v>422589</v>
      </c>
      <c r="E8" t="s">
        <v>39</v>
      </c>
      <c r="F8" t="s">
        <v>40</v>
      </c>
      <c r="G8" t="s">
        <v>39</v>
      </c>
    </row>
    <row r="9" spans="1:8" x14ac:dyDescent="0.3">
      <c r="A9">
        <v>8</v>
      </c>
      <c r="B9" t="s">
        <v>41</v>
      </c>
      <c r="C9" t="s">
        <v>42</v>
      </c>
      <c r="D9">
        <v>796500</v>
      </c>
      <c r="E9" t="s">
        <v>43</v>
      </c>
      <c r="F9" t="s">
        <v>44</v>
      </c>
      <c r="G9" t="s">
        <v>43</v>
      </c>
    </row>
    <row r="10" spans="1:8" x14ac:dyDescent="0.3">
      <c r="A10">
        <v>9</v>
      </c>
      <c r="B10" t="s">
        <v>45</v>
      </c>
      <c r="C10" t="s">
        <v>46</v>
      </c>
      <c r="D10">
        <v>970406</v>
      </c>
      <c r="E10" t="s">
        <v>46</v>
      </c>
      <c r="F10" t="s">
        <v>47</v>
      </c>
      <c r="G10" t="s">
        <v>46</v>
      </c>
    </row>
    <row r="11" spans="1:8" x14ac:dyDescent="0.3">
      <c r="A11">
        <v>10</v>
      </c>
      <c r="B11" t="s">
        <v>48</v>
      </c>
      <c r="C11" t="s">
        <v>49</v>
      </c>
      <c r="D11">
        <v>970431</v>
      </c>
      <c r="E11" t="s">
        <v>50</v>
      </c>
      <c r="F11" t="s">
        <v>51</v>
      </c>
      <c r="G11" t="s">
        <v>50</v>
      </c>
    </row>
    <row r="12" spans="1:8" x14ac:dyDescent="0.3">
      <c r="A12">
        <v>11</v>
      </c>
      <c r="B12" t="s">
        <v>52</v>
      </c>
      <c r="C12" t="s">
        <v>53</v>
      </c>
      <c r="D12">
        <v>970408</v>
      </c>
      <c r="E12" t="s">
        <v>54</v>
      </c>
      <c r="F12" t="s">
        <v>55</v>
      </c>
      <c r="G12" t="s">
        <v>54</v>
      </c>
    </row>
    <row r="13" spans="1:8" x14ac:dyDescent="0.3">
      <c r="A13">
        <v>12</v>
      </c>
      <c r="B13" t="s">
        <v>56</v>
      </c>
      <c r="C13" t="s">
        <v>57</v>
      </c>
      <c r="D13">
        <v>970437</v>
      </c>
      <c r="E13" t="s">
        <v>58</v>
      </c>
      <c r="F13" t="s">
        <v>59</v>
      </c>
      <c r="G13" t="s">
        <v>58</v>
      </c>
    </row>
    <row r="14" spans="1:8" x14ac:dyDescent="0.3">
      <c r="A14">
        <v>13</v>
      </c>
      <c r="B14" t="s">
        <v>60</v>
      </c>
      <c r="C14" t="s">
        <v>61</v>
      </c>
      <c r="D14">
        <v>970442</v>
      </c>
      <c r="E14" t="s">
        <v>62</v>
      </c>
      <c r="F14" t="s">
        <v>63</v>
      </c>
      <c r="G14" t="s">
        <v>62</v>
      </c>
    </row>
    <row r="15" spans="1:8" x14ac:dyDescent="0.3">
      <c r="A15">
        <v>14</v>
      </c>
      <c r="B15" t="s">
        <v>64</v>
      </c>
      <c r="C15" t="s">
        <v>65</v>
      </c>
      <c r="D15">
        <v>458761</v>
      </c>
      <c r="E15" t="s">
        <v>65</v>
      </c>
      <c r="F15" t="s">
        <v>66</v>
      </c>
      <c r="G15" t="s">
        <v>65</v>
      </c>
    </row>
    <row r="16" spans="1:8" x14ac:dyDescent="0.3">
      <c r="A16">
        <v>15</v>
      </c>
      <c r="B16" t="s">
        <v>67</v>
      </c>
      <c r="C16" t="s">
        <v>68</v>
      </c>
      <c r="D16">
        <v>970455</v>
      </c>
      <c r="E16" t="s">
        <v>69</v>
      </c>
      <c r="F16" t="s">
        <v>70</v>
      </c>
      <c r="G16" t="s">
        <v>69</v>
      </c>
    </row>
    <row r="17" spans="1:7" x14ac:dyDescent="0.3">
      <c r="A17">
        <v>16</v>
      </c>
      <c r="B17" t="s">
        <v>71</v>
      </c>
      <c r="C17" t="s">
        <v>72</v>
      </c>
      <c r="D17">
        <v>970456</v>
      </c>
      <c r="E17" t="s">
        <v>73</v>
      </c>
      <c r="F17" t="s">
        <v>70</v>
      </c>
      <c r="G17" t="s">
        <v>73</v>
      </c>
    </row>
    <row r="18" spans="1:7" x14ac:dyDescent="0.3">
      <c r="A18">
        <v>17</v>
      </c>
      <c r="B18" t="s">
        <v>74</v>
      </c>
      <c r="C18" t="s">
        <v>75</v>
      </c>
      <c r="D18">
        <v>970415</v>
      </c>
      <c r="E18" t="s">
        <v>76</v>
      </c>
      <c r="F18" t="s">
        <v>77</v>
      </c>
      <c r="G18" t="s">
        <v>76</v>
      </c>
    </row>
    <row r="19" spans="1:7" x14ac:dyDescent="0.3">
      <c r="A19">
        <v>18</v>
      </c>
      <c r="B19" t="s">
        <v>78</v>
      </c>
      <c r="C19" t="s">
        <v>79</v>
      </c>
      <c r="D19">
        <v>970434</v>
      </c>
      <c r="E19" t="s">
        <v>80</v>
      </c>
      <c r="F19" t="s">
        <v>81</v>
      </c>
      <c r="G19" t="s">
        <v>80</v>
      </c>
    </row>
    <row r="20" spans="1:7" x14ac:dyDescent="0.3">
      <c r="A20">
        <v>19</v>
      </c>
      <c r="B20" t="s">
        <v>82</v>
      </c>
      <c r="C20" t="s">
        <v>83</v>
      </c>
      <c r="D20">
        <v>970452</v>
      </c>
      <c r="E20" t="s">
        <v>84</v>
      </c>
      <c r="F20" t="s">
        <v>85</v>
      </c>
      <c r="G20" t="s">
        <v>84</v>
      </c>
    </row>
    <row r="21" spans="1:7" x14ac:dyDescent="0.3">
      <c r="A21">
        <v>20</v>
      </c>
      <c r="B21" t="s">
        <v>86</v>
      </c>
      <c r="C21" t="s">
        <v>87</v>
      </c>
      <c r="D21">
        <v>970449</v>
      </c>
      <c r="E21" t="s">
        <v>88</v>
      </c>
      <c r="F21" t="s">
        <v>89</v>
      </c>
      <c r="G21" t="s">
        <v>88</v>
      </c>
    </row>
    <row r="22" spans="1:7" x14ac:dyDescent="0.3">
      <c r="A22">
        <v>21</v>
      </c>
      <c r="B22" t="s">
        <v>90</v>
      </c>
      <c r="C22" t="s">
        <v>91</v>
      </c>
      <c r="D22">
        <v>970422</v>
      </c>
      <c r="E22" t="s">
        <v>92</v>
      </c>
      <c r="F22" t="s">
        <v>93</v>
      </c>
      <c r="G22" t="s">
        <v>92</v>
      </c>
    </row>
    <row r="23" spans="1:7" x14ac:dyDescent="0.3">
      <c r="A23">
        <v>22</v>
      </c>
      <c r="B23" t="s">
        <v>94</v>
      </c>
      <c r="C23" t="s">
        <v>95</v>
      </c>
      <c r="D23">
        <v>970426</v>
      </c>
      <c r="E23" t="s">
        <v>95</v>
      </c>
      <c r="F23" t="s">
        <v>96</v>
      </c>
      <c r="G23" t="s">
        <v>95</v>
      </c>
    </row>
    <row r="24" spans="1:7" x14ac:dyDescent="0.3">
      <c r="A24">
        <v>23</v>
      </c>
      <c r="B24" t="s">
        <v>97</v>
      </c>
      <c r="C24" t="s">
        <v>98</v>
      </c>
      <c r="D24">
        <v>970428</v>
      </c>
      <c r="E24" t="s">
        <v>99</v>
      </c>
      <c r="F24" t="s">
        <v>100</v>
      </c>
      <c r="G24" t="s">
        <v>99</v>
      </c>
    </row>
    <row r="25" spans="1:7" x14ac:dyDescent="0.3">
      <c r="A25">
        <v>24</v>
      </c>
      <c r="B25" t="s">
        <v>101</v>
      </c>
      <c r="C25" t="s">
        <v>102</v>
      </c>
      <c r="D25">
        <v>970419</v>
      </c>
      <c r="E25" t="s">
        <v>102</v>
      </c>
      <c r="F25" t="s">
        <v>103</v>
      </c>
      <c r="G25" t="s">
        <v>102</v>
      </c>
    </row>
    <row r="26" spans="1:7" x14ac:dyDescent="0.3">
      <c r="A26">
        <v>25</v>
      </c>
      <c r="B26" t="s">
        <v>104</v>
      </c>
      <c r="C26" t="s">
        <v>105</v>
      </c>
      <c r="D26">
        <v>801011</v>
      </c>
      <c r="E26" t="s">
        <v>106</v>
      </c>
      <c r="F26" t="s">
        <v>107</v>
      </c>
      <c r="G26" t="s">
        <v>106</v>
      </c>
    </row>
    <row r="27" spans="1:7" x14ac:dyDescent="0.3">
      <c r="A27">
        <v>26</v>
      </c>
      <c r="B27" t="s">
        <v>108</v>
      </c>
      <c r="C27" t="s">
        <v>109</v>
      </c>
      <c r="D27">
        <v>970448</v>
      </c>
      <c r="E27" t="s">
        <v>109</v>
      </c>
      <c r="F27" t="s">
        <v>110</v>
      </c>
      <c r="G27" t="s">
        <v>109</v>
      </c>
    </row>
    <row r="28" spans="1:7" x14ac:dyDescent="0.3">
      <c r="A28">
        <v>27</v>
      </c>
      <c r="B28" t="s">
        <v>111</v>
      </c>
      <c r="C28" t="s">
        <v>112</v>
      </c>
      <c r="D28">
        <v>970414</v>
      </c>
      <c r="E28" t="s">
        <v>112</v>
      </c>
      <c r="F28" t="s">
        <v>113</v>
      </c>
      <c r="G28" t="s">
        <v>112</v>
      </c>
    </row>
    <row r="29" spans="1:7" x14ac:dyDescent="0.3">
      <c r="A29">
        <v>28</v>
      </c>
      <c r="B29" t="s">
        <v>114</v>
      </c>
      <c r="C29" t="s">
        <v>115</v>
      </c>
      <c r="D29">
        <v>970439</v>
      </c>
      <c r="E29" t="s">
        <v>116</v>
      </c>
      <c r="F29" t="s">
        <v>117</v>
      </c>
      <c r="G29" t="s">
        <v>116</v>
      </c>
    </row>
    <row r="30" spans="1:7" x14ac:dyDescent="0.3">
      <c r="A30">
        <v>29</v>
      </c>
      <c r="B30" t="s">
        <v>118</v>
      </c>
      <c r="C30" t="s">
        <v>119</v>
      </c>
      <c r="D30">
        <v>970430</v>
      </c>
      <c r="E30" t="s">
        <v>120</v>
      </c>
      <c r="F30" t="s">
        <v>121</v>
      </c>
      <c r="G30" t="s">
        <v>120</v>
      </c>
    </row>
    <row r="31" spans="1:7" x14ac:dyDescent="0.3">
      <c r="A31">
        <v>30</v>
      </c>
      <c r="B31" t="s">
        <v>122</v>
      </c>
      <c r="C31" t="s">
        <v>123</v>
      </c>
      <c r="D31">
        <v>970412</v>
      </c>
      <c r="E31" t="s">
        <v>124</v>
      </c>
      <c r="F31" t="s">
        <v>125</v>
      </c>
      <c r="G31" t="s">
        <v>124</v>
      </c>
    </row>
    <row r="32" spans="1:7" x14ac:dyDescent="0.3">
      <c r="A32">
        <v>31</v>
      </c>
      <c r="B32" t="s">
        <v>126</v>
      </c>
      <c r="C32" t="s">
        <v>127</v>
      </c>
      <c r="D32">
        <v>970429</v>
      </c>
      <c r="E32" t="s">
        <v>127</v>
      </c>
      <c r="F32" t="s">
        <v>128</v>
      </c>
      <c r="G32" t="s">
        <v>127</v>
      </c>
    </row>
    <row r="33" spans="1:7" x14ac:dyDescent="0.3">
      <c r="A33">
        <v>32</v>
      </c>
      <c r="B33" t="s">
        <v>129</v>
      </c>
      <c r="C33" t="s">
        <v>130</v>
      </c>
      <c r="D33">
        <v>970410</v>
      </c>
      <c r="E33" t="s">
        <v>131</v>
      </c>
      <c r="F33" t="s">
        <v>132</v>
      </c>
      <c r="G33" t="s">
        <v>131</v>
      </c>
    </row>
    <row r="34" spans="1:7" x14ac:dyDescent="0.3">
      <c r="A34">
        <v>33</v>
      </c>
      <c r="B34" t="s">
        <v>133</v>
      </c>
      <c r="C34" t="s">
        <v>134</v>
      </c>
      <c r="D34">
        <v>970440</v>
      </c>
      <c r="E34" t="s">
        <v>135</v>
      </c>
      <c r="F34" t="s">
        <v>136</v>
      </c>
      <c r="G34" t="s">
        <v>135</v>
      </c>
    </row>
    <row r="35" spans="1:7" x14ac:dyDescent="0.3">
      <c r="A35">
        <v>34</v>
      </c>
      <c r="B35" t="s">
        <v>137</v>
      </c>
      <c r="C35" t="s">
        <v>138</v>
      </c>
      <c r="D35">
        <v>970400</v>
      </c>
      <c r="E35" t="s">
        <v>139</v>
      </c>
      <c r="F35" t="s">
        <v>140</v>
      </c>
      <c r="G35" t="s">
        <v>139</v>
      </c>
    </row>
    <row r="36" spans="1:7" x14ac:dyDescent="0.3">
      <c r="A36">
        <v>35</v>
      </c>
      <c r="B36" t="s">
        <v>141</v>
      </c>
      <c r="C36" t="s">
        <v>142</v>
      </c>
      <c r="D36">
        <v>970443</v>
      </c>
      <c r="E36" t="s">
        <v>142</v>
      </c>
      <c r="F36" t="s">
        <v>143</v>
      </c>
      <c r="G36" t="s">
        <v>142</v>
      </c>
    </row>
    <row r="37" spans="1:7" x14ac:dyDescent="0.3">
      <c r="A37">
        <v>36</v>
      </c>
      <c r="B37" t="s">
        <v>144</v>
      </c>
      <c r="C37" t="s">
        <v>145</v>
      </c>
      <c r="D37">
        <v>970403</v>
      </c>
      <c r="E37" t="s">
        <v>146</v>
      </c>
      <c r="F37" t="s">
        <v>147</v>
      </c>
      <c r="G37" t="s">
        <v>146</v>
      </c>
    </row>
    <row r="38" spans="1:7" x14ac:dyDescent="0.3">
      <c r="A38">
        <v>37</v>
      </c>
      <c r="B38" t="s">
        <v>148</v>
      </c>
      <c r="C38" t="s">
        <v>149</v>
      </c>
      <c r="D38">
        <v>970424</v>
      </c>
      <c r="E38" t="s">
        <v>150</v>
      </c>
      <c r="F38" t="s">
        <v>151</v>
      </c>
      <c r="G38" t="s">
        <v>150</v>
      </c>
    </row>
    <row r="39" spans="1:7" x14ac:dyDescent="0.3">
      <c r="A39">
        <v>38</v>
      </c>
      <c r="B39" t="s">
        <v>152</v>
      </c>
      <c r="C39" t="s">
        <v>153</v>
      </c>
      <c r="D39">
        <v>970407</v>
      </c>
      <c r="E39" t="s">
        <v>154</v>
      </c>
      <c r="F39" t="s">
        <v>155</v>
      </c>
      <c r="G39" t="s">
        <v>154</v>
      </c>
    </row>
    <row r="40" spans="1:7" x14ac:dyDescent="0.3">
      <c r="A40">
        <v>39</v>
      </c>
      <c r="B40" t="s">
        <v>156</v>
      </c>
      <c r="C40" t="s">
        <v>157</v>
      </c>
      <c r="D40">
        <v>970423</v>
      </c>
      <c r="E40" t="s">
        <v>158</v>
      </c>
      <c r="F40" t="s">
        <v>159</v>
      </c>
      <c r="G40" t="s">
        <v>158</v>
      </c>
    </row>
    <row r="41" spans="1:7" x14ac:dyDescent="0.3">
      <c r="A41">
        <v>40</v>
      </c>
      <c r="B41" t="s">
        <v>160</v>
      </c>
      <c r="C41" t="s">
        <v>161</v>
      </c>
      <c r="D41">
        <v>970458</v>
      </c>
      <c r="E41" t="s">
        <v>162</v>
      </c>
      <c r="F41" t="s">
        <v>163</v>
      </c>
      <c r="G41" t="s">
        <v>162</v>
      </c>
    </row>
    <row r="42" spans="1:7" x14ac:dyDescent="0.3">
      <c r="A42">
        <v>41</v>
      </c>
      <c r="B42" t="s">
        <v>164</v>
      </c>
      <c r="C42" t="s">
        <v>165</v>
      </c>
      <c r="D42">
        <v>970427</v>
      </c>
      <c r="E42" t="s">
        <v>166</v>
      </c>
      <c r="F42" t="s">
        <v>167</v>
      </c>
      <c r="G42" t="s">
        <v>166</v>
      </c>
    </row>
    <row r="43" spans="1:7" x14ac:dyDescent="0.3">
      <c r="A43">
        <v>42</v>
      </c>
      <c r="B43" t="s">
        <v>168</v>
      </c>
      <c r="C43" t="s">
        <v>169</v>
      </c>
      <c r="D43">
        <v>970405</v>
      </c>
      <c r="E43" t="s">
        <v>170</v>
      </c>
      <c r="F43" t="s">
        <v>171</v>
      </c>
      <c r="G43" t="s">
        <v>170</v>
      </c>
    </row>
    <row r="44" spans="1:7" x14ac:dyDescent="0.3">
      <c r="A44">
        <v>43</v>
      </c>
      <c r="B44" t="s">
        <v>172</v>
      </c>
      <c r="C44" t="s">
        <v>173</v>
      </c>
      <c r="D44">
        <v>970436</v>
      </c>
      <c r="E44" t="s">
        <v>174</v>
      </c>
      <c r="F44" t="s">
        <v>175</v>
      </c>
      <c r="G44" t="s">
        <v>174</v>
      </c>
    </row>
    <row r="45" spans="1:7" x14ac:dyDescent="0.3">
      <c r="A45">
        <v>44</v>
      </c>
      <c r="B45" t="s">
        <v>176</v>
      </c>
      <c r="C45" t="s">
        <v>177</v>
      </c>
      <c r="D45">
        <v>970454</v>
      </c>
      <c r="E45" t="s">
        <v>178</v>
      </c>
      <c r="F45" t="s">
        <v>179</v>
      </c>
      <c r="G45" t="s">
        <v>178</v>
      </c>
    </row>
    <row r="46" spans="1:7" x14ac:dyDescent="0.3">
      <c r="A46">
        <v>45</v>
      </c>
      <c r="B46" t="s">
        <v>180</v>
      </c>
      <c r="C46" t="s">
        <v>181</v>
      </c>
      <c r="D46">
        <v>970441</v>
      </c>
      <c r="E46" t="s">
        <v>181</v>
      </c>
      <c r="F46" t="s">
        <v>182</v>
      </c>
      <c r="G46" t="s">
        <v>181</v>
      </c>
    </row>
    <row r="47" spans="1:7" x14ac:dyDescent="0.3">
      <c r="A47">
        <v>46</v>
      </c>
      <c r="B47" t="s">
        <v>183</v>
      </c>
      <c r="C47" t="s">
        <v>184</v>
      </c>
      <c r="D47">
        <v>970433</v>
      </c>
      <c r="E47" t="s">
        <v>185</v>
      </c>
      <c r="F47" t="s">
        <v>186</v>
      </c>
      <c r="G47" t="s">
        <v>185</v>
      </c>
    </row>
    <row r="48" spans="1:7" x14ac:dyDescent="0.3">
      <c r="A48">
        <v>47</v>
      </c>
      <c r="B48" t="s">
        <v>187</v>
      </c>
      <c r="C48" t="s">
        <v>188</v>
      </c>
      <c r="D48">
        <v>970432</v>
      </c>
      <c r="E48" t="s">
        <v>189</v>
      </c>
      <c r="F48" t="s">
        <v>190</v>
      </c>
      <c r="G48" t="s">
        <v>189</v>
      </c>
    </row>
    <row r="49" spans="1:7" x14ac:dyDescent="0.3">
      <c r="A49">
        <v>48</v>
      </c>
      <c r="B49" t="s">
        <v>191</v>
      </c>
      <c r="C49" t="s">
        <v>192</v>
      </c>
      <c r="D49">
        <v>970421</v>
      </c>
      <c r="E49" t="s">
        <v>192</v>
      </c>
      <c r="F49" t="s">
        <v>193</v>
      </c>
      <c r="G49" t="s">
        <v>192</v>
      </c>
    </row>
    <row r="50" spans="1:7" x14ac:dyDescent="0.3">
      <c r="A50">
        <v>49</v>
      </c>
      <c r="B50" t="s">
        <v>194</v>
      </c>
      <c r="C50" t="s">
        <v>195</v>
      </c>
      <c r="D50">
        <v>970457</v>
      </c>
      <c r="E50" t="s">
        <v>196</v>
      </c>
      <c r="F50" t="s">
        <v>197</v>
      </c>
      <c r="G50" t="s">
        <v>196</v>
      </c>
    </row>
    <row r="51" spans="1:7" x14ac:dyDescent="0.3">
      <c r="A51">
        <v>50</v>
      </c>
      <c r="B51" t="s">
        <v>198</v>
      </c>
      <c r="C51" t="s">
        <v>199</v>
      </c>
      <c r="D51">
        <v>970462</v>
      </c>
      <c r="E51" t="s">
        <v>200</v>
      </c>
      <c r="F51" t="s">
        <v>201</v>
      </c>
      <c r="G51" t="s">
        <v>200</v>
      </c>
    </row>
    <row r="52" spans="1:7" x14ac:dyDescent="0.3">
      <c r="A52">
        <v>51</v>
      </c>
      <c r="B52" t="s">
        <v>202</v>
      </c>
      <c r="C52" t="s">
        <v>203</v>
      </c>
      <c r="D52">
        <v>970463</v>
      </c>
      <c r="E52" t="s">
        <v>204</v>
      </c>
      <c r="F52" t="s">
        <v>205</v>
      </c>
      <c r="G52" t="s">
        <v>204</v>
      </c>
    </row>
    <row r="53" spans="1:7" x14ac:dyDescent="0.3">
      <c r="A53">
        <v>52</v>
      </c>
      <c r="B53" t="s">
        <v>206</v>
      </c>
      <c r="C53" t="s">
        <v>207</v>
      </c>
      <c r="D53">
        <v>970446</v>
      </c>
      <c r="E53" t="s">
        <v>207</v>
      </c>
      <c r="F53" t="s">
        <v>208</v>
      </c>
      <c r="G53" t="s">
        <v>207</v>
      </c>
    </row>
    <row r="54" spans="1:7" x14ac:dyDescent="0.3">
      <c r="A54">
        <v>53</v>
      </c>
      <c r="B54" t="s">
        <v>209</v>
      </c>
      <c r="C54" t="s">
        <v>210</v>
      </c>
      <c r="D54">
        <v>546034</v>
      </c>
      <c r="E54" t="s">
        <v>210</v>
      </c>
      <c r="F54" t="s">
        <v>211</v>
      </c>
      <c r="G54" t="s">
        <v>210</v>
      </c>
    </row>
    <row r="55" spans="1:7" x14ac:dyDescent="0.3">
      <c r="A55">
        <v>54</v>
      </c>
      <c r="B55" t="s">
        <v>212</v>
      </c>
      <c r="C55" t="s">
        <v>213</v>
      </c>
      <c r="D55">
        <v>546035</v>
      </c>
      <c r="E55" t="s">
        <v>213</v>
      </c>
      <c r="F55" t="s">
        <v>214</v>
      </c>
      <c r="G55" t="s">
        <v>213</v>
      </c>
    </row>
    <row r="56" spans="1:7" x14ac:dyDescent="0.3">
      <c r="A56">
        <v>55</v>
      </c>
      <c r="B56" t="s">
        <v>215</v>
      </c>
      <c r="C56" t="s">
        <v>216</v>
      </c>
      <c r="D56">
        <v>668888</v>
      </c>
      <c r="E56" t="s">
        <v>216</v>
      </c>
      <c r="F56" t="s">
        <v>217</v>
      </c>
      <c r="G56" t="s">
        <v>216</v>
      </c>
    </row>
    <row r="57" spans="1:7" x14ac:dyDescent="0.3">
      <c r="A57">
        <v>56</v>
      </c>
      <c r="B57" t="s">
        <v>218</v>
      </c>
      <c r="C57" t="s">
        <v>219</v>
      </c>
      <c r="D57">
        <v>971011</v>
      </c>
      <c r="E57" t="s">
        <v>220</v>
      </c>
      <c r="F57" t="s">
        <v>221</v>
      </c>
      <c r="G57" t="s">
        <v>220</v>
      </c>
    </row>
    <row r="58" spans="1:7" x14ac:dyDescent="0.3">
      <c r="A58">
        <v>57</v>
      </c>
      <c r="B58" t="s">
        <v>222</v>
      </c>
      <c r="C58" t="s">
        <v>223</v>
      </c>
      <c r="D58">
        <v>971005</v>
      </c>
      <c r="E58" t="s">
        <v>224</v>
      </c>
      <c r="F58" t="s">
        <v>225</v>
      </c>
      <c r="G58" t="s">
        <v>224</v>
      </c>
    </row>
    <row r="59" spans="1:7" x14ac:dyDescent="0.3">
      <c r="A59">
        <v>58</v>
      </c>
      <c r="B59" t="s">
        <v>226</v>
      </c>
      <c r="C59" t="s">
        <v>227</v>
      </c>
      <c r="D59">
        <v>963388</v>
      </c>
      <c r="E59" t="s">
        <v>228</v>
      </c>
      <c r="F59" t="s">
        <v>229</v>
      </c>
      <c r="G59" t="s">
        <v>228</v>
      </c>
    </row>
    <row r="60" spans="1:7" x14ac:dyDescent="0.3">
      <c r="A60">
        <v>59</v>
      </c>
      <c r="B60" t="s">
        <v>230</v>
      </c>
      <c r="C60" t="s">
        <v>231</v>
      </c>
      <c r="D60">
        <v>533948</v>
      </c>
      <c r="E60" t="s">
        <v>232</v>
      </c>
      <c r="F60" t="s">
        <v>233</v>
      </c>
      <c r="G60" t="s">
        <v>232</v>
      </c>
    </row>
    <row r="61" spans="1:7" x14ac:dyDescent="0.3">
      <c r="A61">
        <v>60</v>
      </c>
      <c r="B61" t="s">
        <v>234</v>
      </c>
      <c r="C61" t="s">
        <v>235</v>
      </c>
      <c r="D61">
        <v>970466</v>
      </c>
      <c r="E61" t="s">
        <v>236</v>
      </c>
      <c r="F61" t="s">
        <v>237</v>
      </c>
      <c r="G61" t="s">
        <v>236</v>
      </c>
    </row>
    <row r="62" spans="1:7" x14ac:dyDescent="0.3">
      <c r="A62">
        <v>61</v>
      </c>
      <c r="B62" t="s">
        <v>238</v>
      </c>
      <c r="C62" t="s">
        <v>239</v>
      </c>
      <c r="D62">
        <v>970467</v>
      </c>
      <c r="E62" t="s">
        <v>239</v>
      </c>
      <c r="F62" t="s">
        <v>240</v>
      </c>
      <c r="G62" t="s">
        <v>239</v>
      </c>
    </row>
    <row r="63" spans="1:7" x14ac:dyDescent="0.3">
      <c r="A63">
        <v>62</v>
      </c>
      <c r="B63" t="s">
        <v>241</v>
      </c>
      <c r="C63" t="s">
        <v>242</v>
      </c>
      <c r="D63">
        <v>977777</v>
      </c>
      <c r="E63" t="s">
        <v>242</v>
      </c>
      <c r="F63" t="s">
        <v>243</v>
      </c>
      <c r="G63" t="s">
        <v>242</v>
      </c>
    </row>
    <row r="64" spans="1:7" x14ac:dyDescent="0.3">
      <c r="A64">
        <v>63</v>
      </c>
      <c r="B64" t="s">
        <v>244</v>
      </c>
      <c r="C64" t="s">
        <v>245</v>
      </c>
      <c r="D64">
        <v>999888</v>
      </c>
      <c r="E64" t="s">
        <v>245</v>
      </c>
      <c r="F64" t="s">
        <v>246</v>
      </c>
      <c r="G64" t="s">
        <v>245</v>
      </c>
    </row>
    <row r="65" spans="1:7" x14ac:dyDescent="0.3">
      <c r="A65">
        <v>64</v>
      </c>
      <c r="B65" t="s">
        <v>247</v>
      </c>
      <c r="C65" t="s">
        <v>248</v>
      </c>
      <c r="D65">
        <v>971133</v>
      </c>
      <c r="E65" t="s">
        <v>249</v>
      </c>
      <c r="F65" t="s">
        <v>125</v>
      </c>
      <c r="G65" t="s">
        <v>249</v>
      </c>
    </row>
    <row r="66" spans="1:7" x14ac:dyDescent="0.3">
      <c r="A66">
        <v>65</v>
      </c>
      <c r="B66" t="s">
        <v>250</v>
      </c>
      <c r="C66" t="s">
        <v>251</v>
      </c>
      <c r="D66">
        <v>971025</v>
      </c>
      <c r="E66" t="s">
        <v>252</v>
      </c>
      <c r="F66" t="s">
        <v>253</v>
      </c>
      <c r="G66" t="s">
        <v>252</v>
      </c>
    </row>
  </sheetData>
  <hyperlinks>
    <hyperlink ref="F2" r:id="rId1" xr:uid="{00000000-0004-0000-0100-000000000000}"/>
    <hyperlink ref="F3" r:id="rId2" xr:uid="{00000000-0004-0000-0100-000001000000}"/>
    <hyperlink ref="F4" r:id="rId3" xr:uid="{00000000-0004-0000-0100-000002000000}"/>
    <hyperlink ref="F5" r:id="rId4" xr:uid="{00000000-0004-0000-0100-000003000000}"/>
    <hyperlink ref="F6" r:id="rId5" xr:uid="{00000000-0004-0000-0100-000004000000}"/>
    <hyperlink ref="F7" r:id="rId6" xr:uid="{00000000-0004-0000-0100-000005000000}"/>
    <hyperlink ref="F8" r:id="rId7" xr:uid="{00000000-0004-0000-0100-000006000000}"/>
    <hyperlink ref="F9" r:id="rId8" xr:uid="{00000000-0004-0000-0100-000007000000}"/>
    <hyperlink ref="F10" r:id="rId9" xr:uid="{00000000-0004-0000-0100-000008000000}"/>
    <hyperlink ref="F11" r:id="rId10" xr:uid="{00000000-0004-0000-0100-000009000000}"/>
    <hyperlink ref="F12" r:id="rId11" xr:uid="{00000000-0004-0000-0100-00000A000000}"/>
    <hyperlink ref="F13" r:id="rId12" xr:uid="{00000000-0004-0000-0100-00000B000000}"/>
    <hyperlink ref="F14" r:id="rId13" xr:uid="{00000000-0004-0000-0100-00000C000000}"/>
    <hyperlink ref="F15" r:id="rId14" xr:uid="{00000000-0004-0000-0100-00000D000000}"/>
    <hyperlink ref="F16" r:id="rId15" xr:uid="{00000000-0004-0000-0100-00000E000000}"/>
    <hyperlink ref="F17" r:id="rId16" xr:uid="{00000000-0004-0000-0100-00000F000000}"/>
    <hyperlink ref="F18" r:id="rId17" xr:uid="{00000000-0004-0000-0100-000010000000}"/>
    <hyperlink ref="F19" r:id="rId18" xr:uid="{00000000-0004-0000-0100-000011000000}"/>
    <hyperlink ref="F20" r:id="rId19" xr:uid="{00000000-0004-0000-0100-000012000000}"/>
    <hyperlink ref="F21" r:id="rId20" xr:uid="{00000000-0004-0000-0100-000013000000}"/>
    <hyperlink ref="F22" r:id="rId21" xr:uid="{00000000-0004-0000-0100-000014000000}"/>
    <hyperlink ref="F23" r:id="rId22" xr:uid="{00000000-0004-0000-0100-000015000000}"/>
    <hyperlink ref="F24" r:id="rId23" xr:uid="{00000000-0004-0000-0100-000016000000}"/>
    <hyperlink ref="F25" r:id="rId24" xr:uid="{00000000-0004-0000-0100-000017000000}"/>
    <hyperlink ref="F26" r:id="rId25" xr:uid="{00000000-0004-0000-0100-000018000000}"/>
    <hyperlink ref="F27" r:id="rId26" xr:uid="{00000000-0004-0000-0100-000019000000}"/>
    <hyperlink ref="F28" r:id="rId27" xr:uid="{00000000-0004-0000-0100-00001A000000}"/>
    <hyperlink ref="F29" r:id="rId28" xr:uid="{00000000-0004-0000-0100-00001B000000}"/>
    <hyperlink ref="F30" r:id="rId29" xr:uid="{00000000-0004-0000-0100-00001C000000}"/>
    <hyperlink ref="F31" r:id="rId30" xr:uid="{00000000-0004-0000-0100-00001D000000}"/>
    <hyperlink ref="F32" r:id="rId31" xr:uid="{00000000-0004-0000-0100-00001E000000}"/>
    <hyperlink ref="F33" r:id="rId32" xr:uid="{00000000-0004-0000-0100-00001F000000}"/>
    <hyperlink ref="F34" r:id="rId33" xr:uid="{00000000-0004-0000-0100-000020000000}"/>
    <hyperlink ref="F35" r:id="rId34" xr:uid="{00000000-0004-0000-0100-000021000000}"/>
    <hyperlink ref="F36" r:id="rId35" xr:uid="{00000000-0004-0000-0100-000022000000}"/>
    <hyperlink ref="F37" r:id="rId36" xr:uid="{00000000-0004-0000-0100-000023000000}"/>
    <hyperlink ref="F38" r:id="rId37" xr:uid="{00000000-0004-0000-0100-000024000000}"/>
    <hyperlink ref="F39" r:id="rId38" xr:uid="{00000000-0004-0000-0100-000025000000}"/>
    <hyperlink ref="F40" r:id="rId39" xr:uid="{00000000-0004-0000-0100-000026000000}"/>
    <hyperlink ref="F41" r:id="rId40" xr:uid="{00000000-0004-0000-0100-000027000000}"/>
    <hyperlink ref="F42" r:id="rId41" xr:uid="{00000000-0004-0000-0100-000028000000}"/>
    <hyperlink ref="F43" r:id="rId42" xr:uid="{00000000-0004-0000-0100-000029000000}"/>
    <hyperlink ref="F44" r:id="rId43" xr:uid="{00000000-0004-0000-0100-00002A000000}"/>
    <hyperlink ref="F45" r:id="rId44" xr:uid="{00000000-0004-0000-0100-00002B000000}"/>
    <hyperlink ref="F46" r:id="rId45" xr:uid="{00000000-0004-0000-0100-00002C000000}"/>
    <hyperlink ref="F47" r:id="rId46" xr:uid="{00000000-0004-0000-0100-00002D000000}"/>
    <hyperlink ref="F48" r:id="rId47" xr:uid="{00000000-0004-0000-0100-00002E000000}"/>
    <hyperlink ref="F49" r:id="rId48" xr:uid="{00000000-0004-0000-0100-00002F000000}"/>
    <hyperlink ref="F50" r:id="rId49" xr:uid="{00000000-0004-0000-0100-000030000000}"/>
    <hyperlink ref="F51" r:id="rId50" xr:uid="{00000000-0004-0000-0100-000031000000}"/>
    <hyperlink ref="F52" r:id="rId51" xr:uid="{00000000-0004-0000-0100-000032000000}"/>
    <hyperlink ref="F53" r:id="rId52" xr:uid="{00000000-0004-0000-0100-000033000000}"/>
    <hyperlink ref="F54" r:id="rId53" xr:uid="{00000000-0004-0000-0100-000034000000}"/>
    <hyperlink ref="F55" r:id="rId54" xr:uid="{00000000-0004-0000-0100-000035000000}"/>
    <hyperlink ref="F56" r:id="rId55" xr:uid="{00000000-0004-0000-0100-000036000000}"/>
    <hyperlink ref="F57" r:id="rId56" xr:uid="{00000000-0004-0000-0100-000037000000}"/>
    <hyperlink ref="F58" r:id="rId57" xr:uid="{00000000-0004-0000-0100-000038000000}"/>
    <hyperlink ref="F59" r:id="rId58" xr:uid="{00000000-0004-0000-0100-000039000000}"/>
    <hyperlink ref="F60" r:id="rId59" xr:uid="{00000000-0004-0000-0100-00003A000000}"/>
    <hyperlink ref="F61" r:id="rId60" xr:uid="{00000000-0004-0000-0100-00003B000000}"/>
    <hyperlink ref="F62" r:id="rId61" xr:uid="{00000000-0004-0000-0100-00003C000000}"/>
    <hyperlink ref="F63" r:id="rId62" xr:uid="{00000000-0004-0000-0100-00003D000000}"/>
    <hyperlink ref="F64" r:id="rId63" xr:uid="{00000000-0004-0000-0100-00003E000000}"/>
    <hyperlink ref="F65" r:id="rId64" xr:uid="{00000000-0004-0000-0100-00003F000000}"/>
    <hyperlink ref="F66" r:id="rId65" xr:uid="{00000000-0004-0000-0100-000040000000}"/>
  </hyperlinks>
  <pageMargins left="0.7" right="0.7" top="0.75" bottom="0.75" header="0.3" footer="0.3"/>
  <ignoredErrors>
    <ignoredError sqref="A3:G4 A47:H66 B46:H46 A1:G1 A6:H6 A5:G5 A8:H45 A7:G7 A2:G2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List_bank</vt:lpstr>
      <vt:lpstr>API - 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 Tuan Kiet Huynh</dc:creator>
  <cp:lastModifiedBy>Tran Tuan Kiet Huynh</cp:lastModifiedBy>
  <dcterms:created xsi:type="dcterms:W3CDTF">2026-06-03T08:19:01Z</dcterms:created>
  <dcterms:modified xsi:type="dcterms:W3CDTF">2026-06-05T14:37:27Z</dcterms:modified>
</cp:coreProperties>
</file>