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A3062DFE-E2CA-4369-8DD0-4DA128D69F1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<sst xmlns="http://schemas.openxmlformats.org/spreadsheetml/2006/main" count="364" uniqueCount="264">
  <si>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</si>
  <si>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</si>
  <si>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</si>
  <si>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</si>
  <si>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</si>
  <si>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</si>
  <si>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</si>
  <si>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</si>
  <si>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</si>
  <si>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</si>
  <si>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</si>
  <si>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</si>
  <si>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</si>
  <si>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</si>
  <si>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</si>
  <si>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</si>
  <si>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</si>
  <si>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</si>
  <si>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</si>
  <si>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</si>
  <si>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</si>
  <si>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</si>
  <si>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</si>
  <si>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</si>
  <si>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</si>
  <si>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</si>
  <si>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</si>
  <si>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</si>
  <si>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</si>
  <si>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</si>
  <si>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</si>
  <si>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</si>
  <si>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</si>
  <si>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</si>
  <si>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</si>
  <si>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</si>
  <si>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</si>
  <si>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</si>
  <si>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</si>
  <si>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</si>
  <si>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</si>
  <si>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</si>
  <si>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</si>
  <si>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</si>
  <si>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</si>
  <si>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</si>
  <si>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</si>
  <si>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</si>
  <si>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</si>
  <si>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</si>
  <si>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</si>
  <si>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</si>
  <si>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</si>
  <si>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</si>
  <si>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</si>
  <si>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</si>
  <si>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</si>
  <si>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</si>
  <si>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</si>
  <si>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</si>
  <si>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</si>
  <si>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</si>
  <si>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</si>
  <si>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</si>
  <si>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</si>
  <si>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</si>
  <si>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</si>
  <si>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</si>
  <si>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</si>
  <si>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</si>
  <si>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</si>
  <si>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</si>
  <si>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</si>
  <si>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</si>
  <si>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</si>
  <si>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</si>
  <si>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</si>
  <si>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</si>
  <si>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</si>
  <si>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</si>
  <si>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</si>
  <si>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</si>
  <si>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</si>
  <si>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</si>
  <si>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</si>
  <si>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</si>
  <si>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</si>
  <si>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</si>
  <si>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</si>
  <si>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</si>
  <si>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</si>
  <si>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</si>
  <si>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</si>
  <si>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</si>
  <si>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</si>
  <si>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</si>
  <si>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</si>
  <si>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</si>
  <si>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</si>
  <si>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</si>
  <si>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</si>
  <si>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</si>
  <si>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</si>
  <si>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</si>
  <si>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</si>
  <si>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</si>
  <si>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</si>
  <si>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</si>
  <si>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</si>
  <si>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</si>
  <si>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</si>
  <si>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</si>
  <si>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</si>
  <si>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</si>
  <si>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</si>
  <si>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</si>
  <si>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</si>
  <si>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</si>
  <si>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</si>
  <si>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</si>
  <si>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</si>
  <si>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</si>
  <si>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</si>
  <si>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</si>
  <si>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</si>
  <si>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</si>
  <si>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</si>
  <si>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</si>
  <si>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</si>
  <si>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</si>
  <si>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</si>
  <si>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</si>
  <si>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</si>
  <si>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</si>
  <si>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</si>
  <si>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</si>
  <si>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</si>
  <si>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</si>
  <si>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</si>
  <si>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</si>
  <si>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</si>
  <si>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</si>
  <si>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</si>
  <si>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</si>
  <si>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</si>
  <si>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</si>
  <si>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</si>
  <si>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</si>
  <si>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</si>
  <si>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</si>
  <si>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</si>
  <si>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</si>
  <si>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</si>
  <si>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</si>
  <si>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</si>
  <si>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</si>
  <si>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</si>
  <si>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</si>
  <si>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</si>
  <si>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</si>
  <si>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</si>
  <si>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</si>
  <si>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</si>
  <si>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</si>
  <si>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</si>
  <si>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</si>
  <si>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</si>
  <si>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</si>
  <si>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</si>
  <si>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</si>
  <si>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</si>
  <si>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</si>
  <si>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</si>
  <si>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</si>
  <si>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</si>
  <si>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</si>
  <si>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</si>
  <si>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</si>
  <si>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</si>
  <si>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</si>
  <si>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</si>
  <si>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</si>
  <si>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</si>
  <si>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</si>
  <si>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</si>
  <si>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</si>
  <si>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</si>
  <si>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</si>
  <si>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</si>
  <si>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</si>
  <si>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</si>
  <si>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</si>
  <si>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</si>
  <si>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</si>
  <si>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</si>
  <si>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</si>
  <si>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</si>
  <si>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</si>
  <si>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</si>
  <si>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</si>
  <si>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</si>
  <si>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</si>
  <si>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</si>
  <si>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</si>
  <si>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</si>
  <si>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</si>
  <si>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</si>
  <si>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</si>
  <si>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</si>
  <si>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</si>
  <si>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</si>
  <si>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</si>
  <si>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</si>
  <si>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</si>
  <si>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</si>
  <si>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</si>
  <si>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</si>
  <si>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</si>
  <si>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</si>
  <si>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</si>
  <si>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</si>
  <si>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</si>
  <si>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</si>
  <si>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</si>
  <si>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</si>
  <si>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</si>
  <si>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</si>
  <si>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</si>
  <si>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</si>
  <si>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</si>
  <si>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</si>
  <si>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</si>
  <si>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</si>
  <si>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</si>
  <si>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</si>
  <si>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</si>
  <si>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</si>
  <si>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</si>
  <si>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</si>
  <si>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</si>
  <si>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</si>
  <si>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</si>
  <si>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</si>
  <si>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</si>
  <si>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</si>
  <si>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</si>
  <si>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</si>
  <si>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</si>
  <si>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</si>
  <si>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</si>
  <si>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</si>
  <si>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</si>
  <si>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</si>
  <si>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</si>
  <si>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MS00T09548691713297</t>
  </si>
  <si>
    <t>064933000</t>
  </si>
  <si>
    <t>Template</t>
  </si>
  <si>
    <t>iPA</t>
  </si>
  <si>
    <t>Phan Le Duy Khoi</t>
  </si>
  <si>
    <t>Viettel Money</t>
  </si>
  <si>
    <t>PhanLe Duy Khoi</t>
  </si>
  <si>
    <t>105878043349</t>
  </si>
  <si>
    <t>9704229201938102578</t>
  </si>
  <si>
    <t xml:space="preserve">VIB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</si>
</sst>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49" fontId="0" fillId="0" borderId="0" xfId="0" quotePrefix="1" applyNumberFormat="1"/>
    <xf numFmtId="49" fontId="0" fillId="0" borderId="0" xfId="0" quotePrefix="1" applyNumberFormat="1" applyAlignment="1">
      <alignment horizontal="left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printerSettings" Target="../printerSettings/printerSettings1.bin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B3" sqref="B3:D3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257</v>
      </c>
      <c r="C2" s="2" t="s">
        <v>254</v>
      </c>
      <c r="D2" t="s">
        <v>10</v>
      </c>
      <c r="E2" t="str">
        <f>IFERROR((VLOOKUP(A2,'API - io'!$A:$H,5,0)),"-")</f>
        <v>Techcombank</v>
      </c>
      <c r="F2" t="str">
        <f>IFERROR((VLOOKUP(A2,'API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43</v>
      </c>
      <c r="B3" t="s">
        <v>174</v>
      </c>
      <c r="C3" s="3">
        <v>1031451081</v>
      </c>
      <c r="D3" t="s">
        <v>10</v>
      </c>
      <c r="E3" t="str">
        <f>IFERROR((VLOOKUP(A3,'API - io'!$A:$H,5,0)),"-")</f>
        <v>Vietcombank</v>
      </c>
      <c r="F3" t="str">
        <f>IFERROR((VLOOKUP(A3,'API - io'!$A:$H,3,0)),"-")</f>
        <v>VCB</v>
      </c>
      <c r="G3">
        <f>IFERROR((VLOOKUP(A3,'API - io'!$A:$G,4,0)),"-")</f>
        <v>970436</v>
      </c>
      <c r="H3" t="str">
        <f>IFERROR((VLOOKUP(A3,'API - io'!$A:$G,5,0)),"-")</f>
        <v>Vietcombank</v>
      </c>
      <c r="I3" t="str">
        <f>IFERROR((VLOOKUP(A3,'API - io'!$A:$G,6,0)),"-")</f>
        <v>https://cdn.vietqr.io/img/VCB.png</v>
      </c>
      <c r="J3" t="str">
        <f>IFERROR((VLOOKUP(A3,'API - io'!$A:$G,7,0)),"-")</f>
        <v>Vietcombank</v>
      </c>
    </row>
    <row r="4" spans="1:10" x14ac:dyDescent="0.3">
      <c r="A4">
        <v>38</v>
      </c>
      <c r="B4" t="s">
        <v>154</v>
      </c>
      <c r="C4" s="4">
        <v>44699999999</v>
      </c>
      <c r="D4" t="s">
        <v>10</v>
      </c>
      <c r="E4" t="str">
        <f>IFERROR((VLOOKUP(A4,'API - io'!$A:$H,5,0)),"-")</f>
        <v>Techcombank</v>
      </c>
      <c r="F4" t="str">
        <f>IFERROR((VLOOKUP(A4,'API - io'!$A:$H,3,0)),"-")</f>
        <v>TCB</v>
      </c>
      <c r="G4">
        <f>IFERROR((VLOOKUP(A4,'API - io'!$A:$G,4,0)),"-")</f>
        <v>970407</v>
      </c>
      <c r="H4" t="str">
        <f>IFERROR((VLOOKUP(A4,'API - io'!$A:$G,5,0)),"-")</f>
        <v>Techcombank</v>
      </c>
      <c r="I4" t="str">
        <f>IFERROR((VLOOKUP(A4,'API - io'!$A:$G,6,0)),"-")</f>
        <v>https://cdn.vietqr.io/img/TCB.png</v>
      </c>
      <c r="J4" t="str">
        <f>IFERROR((VLOOKUP(A4,'API - io'!$A:$G,7,0)),"-")</f>
        <v>Techcombank</v>
      </c>
    </row>
    <row r="5" spans="1:10" x14ac:dyDescent="0.3">
      <c r="A5">
        <v>45</v>
      </c>
      <c r="B5" t="s">
        <v>263</v>
      </c>
      <c r="C5" s="2" t="s">
        <v>255</v>
      </c>
      <c r="D5" t="s">
        <v>10</v>
      </c>
      <c r="E5" t="str">
        <f>IFERROR((VLOOKUP(A5,'API - io'!$A:$H,5,0)),"-")</f>
        <v>VIB</v>
      </c>
      <c r="F5" t="str">
        <f>IFERROR((VLOOKUP(A5,'API - io'!$A:$H,3,0)),"-")</f>
        <v>VIB</v>
      </c>
      <c r="G5">
        <f>IFERROR((VLOOKUP(A5,'API - io'!$A:$G,4,0)),"-")</f>
        <v>970441</v>
      </c>
      <c r="H5" t="str">
        <f>IFERROR((VLOOKUP(A5,'API - io'!$A:$G,5,0)),"-")</f>
        <v>VIB</v>
      </c>
      <c r="I5" t="str">
        <f>IFERROR((VLOOKUP(A5,'API - io'!$A:$G,6,0)),"-")</f>
        <v>https://cdn.vietqr.io/img/VIB.png</v>
      </c>
      <c r="J5" t="str">
        <f>IFERROR((VLOOKUP(A5,'API - io'!$A:$G,7,0)),"-")</f>
        <v>VIB</v>
      </c>
    </row>
    <row r="6" spans="1:10" x14ac:dyDescent="0.3">
      <c r="E6" t="str">
        <f>IFERROR((VLOOKUP(A6,'API - io'!$A:$H,5,0)),"-")</f>
        <v>-</v>
      </c>
      <c r="F6" t="str">
        <f>IFERROR((VLOOKUP(A6,'API - io'!$A:$H,3,0)),"-")</f>
        <v>-</v>
      </c>
      <c r="G6" t="str">
        <f>IFERROR((VLOOKUP(A6,'API - io'!$A:$G,4,0)),"-")</f>
        <v>-</v>
      </c>
      <c r="H6" t="str">
        <f>IFERROR((VLOOKUP(A6,'API - io'!$A:$G,5,0)),"-")</f>
        <v>-</v>
      </c>
      <c r="I6" t="str">
        <f>IFERROR((VLOOKUP(A6,'API - io'!$A:$G,6,0)),"-")</f>
        <v>-</v>
      </c>
      <c r="J6" t="str">
        <f>IFERROR((VLOOKUP(A6,'API - io'!$A:$G,7,0)),"-")</f>
        <v>-</v>
      </c>
    </row>
    <row r="7" spans="1:10" x14ac:dyDescent="0.3">
      <c r="C7" s="2"/>
      <c r="E7" t="str">
        <f>IFERROR((VLOOKUP(A7,'API - io'!$A:$H,5,0)),"-")</f>
        <v>-</v>
      </c>
      <c r="F7" t="str">
        <f>IFERROR((VLOOKUP(A7,'API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A8">
        <v>21</v>
      </c>
      <c r="B8" t="s">
        <v>259</v>
      </c>
      <c r="C8" s="2" t="s">
        <v>262</v>
      </c>
      <c r="D8" t="s">
        <v>10</v>
      </c>
      <c r="E8" t="str">
        <f>IFERROR((VLOOKUP(A8,'API - io'!$A:$H,5,0)),"-")</f>
        <v>MBBank</v>
      </c>
      <c r="F8" t="str">
        <f>IFERROR((VLOOKUP(A8,'API - io'!$A:$H,3,0)),"-")</f>
        <v>MB</v>
      </c>
      <c r="G8">
        <f>IFERROR((VLOOKUP(A8,'API - io'!$A:$G,4,0)),"-")</f>
        <v>970422</v>
      </c>
      <c r="H8" t="str">
        <f>IFERROR((VLOOKUP(A8,'API - io'!$A:$G,5,0)),"-")</f>
        <v>MBBank</v>
      </c>
      <c r="I8" t="str">
        <f>IFERROR((VLOOKUP(A8,'API - io'!$A:$G,6,0)),"-")</f>
        <v>https://cdn.vietqr.io/img/MB.png</v>
      </c>
      <c r="J8" t="str">
        <f>IFERROR((VLOOKUP(A8,'API - io'!$A:$G,7,0)),"-")</f>
        <v>MBBank</v>
      </c>
    </row>
    <row r="9" spans="1:10" x14ac:dyDescent="0.3">
      <c r="C9" s="4"/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C10" s="4"/>
      <c r="E10" t="str">
        <f>IFERROR((VLOOKUP(A10,'API - io'!$A:$H,5,0)),"-")</f>
        <v>-</v>
      </c>
      <c r="F10" t="str">
        <f>IFERROR((VLOOKUP(A10,'API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A11">
        <v>17</v>
      </c>
      <c r="B11" t="s">
        <v>260</v>
      </c>
      <c r="C11" s="2" t="s">
        <v>261</v>
      </c>
      <c r="D11" t="s">
        <v>258</v>
      </c>
      <c r="E11" t="str">
        <f>IFERROR((VLOOKUP(A11,'API - io'!$A:$H,5,0)),"-")</f>
        <v>VietinBank</v>
      </c>
      <c r="F11" t="str">
        <f>IFERROR((VLOOKUP(A11,'API - io'!$A:$H,3,0)),"-")</f>
        <v>ICB</v>
      </c>
      <c r="G11">
        <f>IFERROR((VLOOKUP(A11,'API - io'!$A:$G,4,0)),"-")</f>
        <v>970415</v>
      </c>
      <c r="H11" t="str">
        <f>IFERROR((VLOOKUP(A11,'API - io'!$A:$G,5,0)),"-")</f>
        <v>VietinBank</v>
      </c>
      <c r="I11" t="str">
        <f>IFERROR((VLOOKUP(A11,'API - io'!$A:$G,6,0)),"-")</f>
        <v>https://cdn.vietqr.io/img/ICB.png</v>
      </c>
      <c r="J11" t="str">
        <f>IFERROR((VLOOKUP(A11,'API - io'!$A:$G,7,0)),"-")</f>
        <v>VietinBank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2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IFERROR((VLOOKUP(A18,'API - io'!$A:$H,5,0)),"-")</f>
        <v>-</v>
      </c>
      <c r="F18" t="str">
        <f>IFERROR((VLOOKUP(A18,'API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pageSetup orientation="portrait" r:id="rId100"/>
  <ignoredErrors>
    <ignoredError sqref="A1:J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C16" workbookViewId="0">
      <selection activeCell="E28" sqref="E28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256</v>
      </c>
    </row>
    <row r="2" spans="1:8" x14ac:dyDescent="0.3">
      <c r="A2">
        <v>1</v>
      </c>
      <c r="B2" t="s">
        <v>11</v>
      </c>
      <c r="C2" t="s">
        <v>12</v>
      </c>
      <c r="D2">
        <v>970425</v>
      </c>
      <c r="E2" t="s">
        <v>13</v>
      </c>
      <c r="F2" t="s">
        <v>14</v>
      </c>
      <c r="G2" t="s">
        <v>13</v>
      </c>
      <c r="H2" t="s">
        <v>28</v>
      </c>
    </row>
    <row r="3" spans="1:8" x14ac:dyDescent="0.3">
      <c r="A3">
        <v>2</v>
      </c>
      <c r="B3" t="s">
        <v>16</v>
      </c>
      <c r="C3" t="s">
        <v>17</v>
      </c>
      <c r="D3">
        <v>970416</v>
      </c>
      <c r="E3" t="s">
        <v>17</v>
      </c>
      <c r="F3" t="s">
        <v>18</v>
      </c>
      <c r="G3" t="s">
        <v>17</v>
      </c>
      <c r="H3" t="s">
        <v>15</v>
      </c>
    </row>
    <row r="4" spans="1:8" x14ac:dyDescent="0.3">
      <c r="A4">
        <v>3</v>
      </c>
      <c r="B4" t="s">
        <v>20</v>
      </c>
      <c r="C4" t="s">
        <v>21</v>
      </c>
      <c r="D4">
        <v>970409</v>
      </c>
      <c r="E4" t="s">
        <v>22</v>
      </c>
      <c r="F4" t="s">
        <v>23</v>
      </c>
      <c r="G4" t="s">
        <v>22</v>
      </c>
      <c r="H4" t="s">
        <v>19</v>
      </c>
    </row>
    <row r="5" spans="1:8" x14ac:dyDescent="0.3">
      <c r="A5">
        <v>4</v>
      </c>
      <c r="B5" t="s">
        <v>25</v>
      </c>
      <c r="C5" t="s">
        <v>26</v>
      </c>
      <c r="D5">
        <v>970418</v>
      </c>
      <c r="E5" t="s">
        <v>26</v>
      </c>
      <c r="F5" t="s">
        <v>27</v>
      </c>
      <c r="G5" t="s">
        <v>26</v>
      </c>
      <c r="H5" t="s">
        <v>24</v>
      </c>
    </row>
    <row r="6" spans="1:8" x14ac:dyDescent="0.3">
      <c r="A6">
        <v>5</v>
      </c>
      <c r="B6" t="s">
        <v>29</v>
      </c>
      <c r="C6" t="s">
        <v>30</v>
      </c>
      <c r="D6">
        <v>970438</v>
      </c>
      <c r="E6" t="s">
        <v>31</v>
      </c>
      <c r="F6" t="s">
        <v>32</v>
      </c>
      <c r="G6" t="s">
        <v>31</v>
      </c>
      <c r="H6" t="s">
        <v>33</v>
      </c>
    </row>
    <row r="7" spans="1:8" x14ac:dyDescent="0.3">
      <c r="A7">
        <v>6</v>
      </c>
      <c r="B7" t="s">
        <v>34</v>
      </c>
      <c r="C7" t="s">
        <v>35</v>
      </c>
      <c r="D7">
        <v>970444</v>
      </c>
      <c r="E7" t="s">
        <v>36</v>
      </c>
      <c r="F7" t="s">
        <v>37</v>
      </c>
      <c r="G7" t="s">
        <v>36</v>
      </c>
    </row>
    <row r="8" spans="1:8" x14ac:dyDescent="0.3">
      <c r="A8">
        <v>7</v>
      </c>
      <c r="B8" t="s">
        <v>38</v>
      </c>
      <c r="C8" t="s">
        <v>39</v>
      </c>
      <c r="D8">
        <v>422589</v>
      </c>
      <c r="E8" t="s">
        <v>39</v>
      </c>
      <c r="F8" t="s">
        <v>40</v>
      </c>
      <c r="G8" t="s">
        <v>39</v>
      </c>
    </row>
    <row r="9" spans="1:8" x14ac:dyDescent="0.3">
      <c r="A9">
        <v>8</v>
      </c>
      <c r="B9" t="s">
        <v>41</v>
      </c>
      <c r="C9" t="s">
        <v>42</v>
      </c>
      <c r="D9">
        <v>796500</v>
      </c>
      <c r="E9" t="s">
        <v>43</v>
      </c>
      <c r="F9" t="s">
        <v>44</v>
      </c>
      <c r="G9" t="s">
        <v>43</v>
      </c>
    </row>
    <row r="10" spans="1:8" x14ac:dyDescent="0.3">
      <c r="A10">
        <v>9</v>
      </c>
      <c r="B10" t="s">
        <v>45</v>
      </c>
      <c r="C10" t="s">
        <v>46</v>
      </c>
      <c r="D10">
        <v>970406</v>
      </c>
      <c r="E10" t="s">
        <v>46</v>
      </c>
      <c r="F10" t="s">
        <v>47</v>
      </c>
      <c r="G10" t="s">
        <v>46</v>
      </c>
    </row>
    <row r="11" spans="1:8" x14ac:dyDescent="0.3">
      <c r="A11">
        <v>10</v>
      </c>
      <c r="B11" t="s">
        <v>48</v>
      </c>
      <c r="C11" t="s">
        <v>49</v>
      </c>
      <c r="D11">
        <v>970431</v>
      </c>
      <c r="E11" t="s">
        <v>50</v>
      </c>
      <c r="F11" t="s">
        <v>51</v>
      </c>
      <c r="G11" t="s">
        <v>50</v>
      </c>
    </row>
    <row r="12" spans="1:8" x14ac:dyDescent="0.3">
      <c r="A12">
        <v>11</v>
      </c>
      <c r="B12" t="s">
        <v>52</v>
      </c>
      <c r="C12" t="s">
        <v>53</v>
      </c>
      <c r="D12">
        <v>970408</v>
      </c>
      <c r="E12" t="s">
        <v>54</v>
      </c>
      <c r="F12" t="s">
        <v>55</v>
      </c>
      <c r="G12" t="s">
        <v>54</v>
      </c>
    </row>
    <row r="13" spans="1:8" x14ac:dyDescent="0.3">
      <c r="A13">
        <v>12</v>
      </c>
      <c r="B13" t="s">
        <v>56</v>
      </c>
      <c r="C13" t="s">
        <v>57</v>
      </c>
      <c r="D13">
        <v>970437</v>
      </c>
      <c r="E13" t="s">
        <v>58</v>
      </c>
      <c r="F13" t="s">
        <v>59</v>
      </c>
      <c r="G13" t="s">
        <v>58</v>
      </c>
    </row>
    <row r="14" spans="1:8" x14ac:dyDescent="0.3">
      <c r="A14">
        <v>13</v>
      </c>
      <c r="B14" t="s">
        <v>60</v>
      </c>
      <c r="C14" t="s">
        <v>61</v>
      </c>
      <c r="D14">
        <v>970442</v>
      </c>
      <c r="E14" t="s">
        <v>62</v>
      </c>
      <c r="F14" t="s">
        <v>63</v>
      </c>
      <c r="G14" t="s">
        <v>62</v>
      </c>
    </row>
    <row r="15" spans="1:8" x14ac:dyDescent="0.3">
      <c r="A15">
        <v>14</v>
      </c>
      <c r="B15" t="s">
        <v>64</v>
      </c>
      <c r="C15" t="s">
        <v>65</v>
      </c>
      <c r="D15">
        <v>458761</v>
      </c>
      <c r="E15" t="s">
        <v>65</v>
      </c>
      <c r="F15" t="s">
        <v>66</v>
      </c>
      <c r="G15" t="s">
        <v>65</v>
      </c>
    </row>
    <row r="16" spans="1:8" x14ac:dyDescent="0.3">
      <c r="A16">
        <v>15</v>
      </c>
      <c r="B16" t="s">
        <v>67</v>
      </c>
      <c r="C16" t="s">
        <v>68</v>
      </c>
      <c r="D16">
        <v>970455</v>
      </c>
      <c r="E16" t="s">
        <v>69</v>
      </c>
      <c r="F16" t="s">
        <v>70</v>
      </c>
      <c r="G16" t="s">
        <v>69</v>
      </c>
    </row>
    <row r="17" spans="1:7" x14ac:dyDescent="0.3">
      <c r="A17">
        <v>16</v>
      </c>
      <c r="B17" t="s">
        <v>71</v>
      </c>
      <c r="C17" t="s">
        <v>72</v>
      </c>
      <c r="D17">
        <v>970456</v>
      </c>
      <c r="E17" t="s">
        <v>73</v>
      </c>
      <c r="F17" t="s">
        <v>70</v>
      </c>
      <c r="G17" t="s">
        <v>73</v>
      </c>
    </row>
    <row r="18" spans="1:7" x14ac:dyDescent="0.3">
      <c r="A18">
        <v>17</v>
      </c>
      <c r="B18" t="s">
        <v>74</v>
      </c>
      <c r="C18" t="s">
        <v>75</v>
      </c>
      <c r="D18">
        <v>970415</v>
      </c>
      <c r="E18" t="s">
        <v>76</v>
      </c>
      <c r="F18" t="s">
        <v>77</v>
      </c>
      <c r="G18" t="s">
        <v>76</v>
      </c>
    </row>
    <row r="19" spans="1:7" x14ac:dyDescent="0.3">
      <c r="A19">
        <v>18</v>
      </c>
      <c r="B19" t="s">
        <v>78</v>
      </c>
      <c r="C19" t="s">
        <v>79</v>
      </c>
      <c r="D19">
        <v>970434</v>
      </c>
      <c r="E19" t="s">
        <v>80</v>
      </c>
      <c r="F19" t="s">
        <v>81</v>
      </c>
      <c r="G19" t="s">
        <v>80</v>
      </c>
    </row>
    <row r="20" spans="1:7" x14ac:dyDescent="0.3">
      <c r="A20">
        <v>19</v>
      </c>
      <c r="B20" t="s">
        <v>82</v>
      </c>
      <c r="C20" t="s">
        <v>83</v>
      </c>
      <c r="D20">
        <v>970452</v>
      </c>
      <c r="E20" t="s">
        <v>84</v>
      </c>
      <c r="F20" t="s">
        <v>85</v>
      </c>
      <c r="G20" t="s">
        <v>84</v>
      </c>
    </row>
    <row r="21" spans="1:7" x14ac:dyDescent="0.3">
      <c r="A21">
        <v>20</v>
      </c>
      <c r="B21" t="s">
        <v>86</v>
      </c>
      <c r="C21" t="s">
        <v>87</v>
      </c>
      <c r="D21">
        <v>970449</v>
      </c>
      <c r="E21" t="s">
        <v>88</v>
      </c>
      <c r="F21" t="s">
        <v>89</v>
      </c>
      <c r="G21" t="s">
        <v>88</v>
      </c>
    </row>
    <row r="22" spans="1:7" x14ac:dyDescent="0.3">
      <c r="A22">
        <v>21</v>
      </c>
      <c r="B22" t="s">
        <v>90</v>
      </c>
      <c r="C22" t="s">
        <v>91</v>
      </c>
      <c r="D22">
        <v>970422</v>
      </c>
      <c r="E22" t="s">
        <v>92</v>
      </c>
      <c r="F22" t="s">
        <v>93</v>
      </c>
      <c r="G22" t="s">
        <v>92</v>
      </c>
    </row>
    <row r="23" spans="1:7" x14ac:dyDescent="0.3">
      <c r="A23">
        <v>22</v>
      </c>
      <c r="B23" t="s">
        <v>94</v>
      </c>
      <c r="C23" t="s">
        <v>95</v>
      </c>
      <c r="D23">
        <v>970426</v>
      </c>
      <c r="E23" t="s">
        <v>95</v>
      </c>
      <c r="F23" t="s">
        <v>96</v>
      </c>
      <c r="G23" t="s">
        <v>95</v>
      </c>
    </row>
    <row r="24" spans="1:7" x14ac:dyDescent="0.3">
      <c r="A24">
        <v>23</v>
      </c>
      <c r="B24" t="s">
        <v>97</v>
      </c>
      <c r="C24" t="s">
        <v>98</v>
      </c>
      <c r="D24">
        <v>970428</v>
      </c>
      <c r="E24" t="s">
        <v>99</v>
      </c>
      <c r="F24" t="s">
        <v>100</v>
      </c>
      <c r="G24" t="s">
        <v>99</v>
      </c>
    </row>
    <row r="25" spans="1:7" x14ac:dyDescent="0.3">
      <c r="A25">
        <v>24</v>
      </c>
      <c r="B25" t="s">
        <v>101</v>
      </c>
      <c r="C25" t="s">
        <v>102</v>
      </c>
      <c r="D25">
        <v>970419</v>
      </c>
      <c r="E25" t="s">
        <v>102</v>
      </c>
      <c r="F25" t="s">
        <v>103</v>
      </c>
      <c r="G25" t="s">
        <v>102</v>
      </c>
    </row>
    <row r="26" spans="1:7" x14ac:dyDescent="0.3">
      <c r="A26">
        <v>25</v>
      </c>
      <c r="B26" t="s">
        <v>104</v>
      </c>
      <c r="C26" t="s">
        <v>105</v>
      </c>
      <c r="D26">
        <v>801011</v>
      </c>
      <c r="E26" t="s">
        <v>106</v>
      </c>
      <c r="F26" t="s">
        <v>107</v>
      </c>
      <c r="G26" t="s">
        <v>106</v>
      </c>
    </row>
    <row r="27" spans="1:7" x14ac:dyDescent="0.3">
      <c r="A27">
        <v>26</v>
      </c>
      <c r="B27" t="s">
        <v>108</v>
      </c>
      <c r="C27" t="s">
        <v>109</v>
      </c>
      <c r="D27">
        <v>970448</v>
      </c>
      <c r="E27" t="s">
        <v>109</v>
      </c>
      <c r="F27" t="s">
        <v>110</v>
      </c>
      <c r="G27" t="s">
        <v>109</v>
      </c>
    </row>
    <row r="28" spans="1:7" x14ac:dyDescent="0.3">
      <c r="A28">
        <v>27</v>
      </c>
      <c r="B28" t="s">
        <v>111</v>
      </c>
      <c r="C28" t="s">
        <v>112</v>
      </c>
      <c r="D28">
        <v>970414</v>
      </c>
      <c r="E28" t="s">
        <v>112</v>
      </c>
      <c r="F28" t="s">
        <v>113</v>
      </c>
      <c r="G28" t="s">
        <v>112</v>
      </c>
    </row>
    <row r="29" spans="1:7" x14ac:dyDescent="0.3">
      <c r="A29">
        <v>28</v>
      </c>
      <c r="B29" t="s">
        <v>114</v>
      </c>
      <c r="C29" t="s">
        <v>115</v>
      </c>
      <c r="D29">
        <v>970439</v>
      </c>
      <c r="E29" t="s">
        <v>116</v>
      </c>
      <c r="F29" t="s">
        <v>117</v>
      </c>
      <c r="G29" t="s">
        <v>116</v>
      </c>
    </row>
    <row r="30" spans="1:7" x14ac:dyDescent="0.3">
      <c r="A30">
        <v>29</v>
      </c>
      <c r="B30" t="s">
        <v>118</v>
      </c>
      <c r="C30" t="s">
        <v>119</v>
      </c>
      <c r="D30">
        <v>970430</v>
      </c>
      <c r="E30" t="s">
        <v>120</v>
      </c>
      <c r="F30" t="s">
        <v>121</v>
      </c>
      <c r="G30" t="s">
        <v>120</v>
      </c>
    </row>
    <row r="31" spans="1:7" x14ac:dyDescent="0.3">
      <c r="A31">
        <v>30</v>
      </c>
      <c r="B31" t="s">
        <v>122</v>
      </c>
      <c r="C31" t="s">
        <v>123</v>
      </c>
      <c r="D31">
        <v>970412</v>
      </c>
      <c r="E31" t="s">
        <v>124</v>
      </c>
      <c r="F31" t="s">
        <v>125</v>
      </c>
      <c r="G31" t="s">
        <v>124</v>
      </c>
    </row>
    <row r="32" spans="1:7" x14ac:dyDescent="0.3">
      <c r="A32">
        <v>31</v>
      </c>
      <c r="B32" t="s">
        <v>126</v>
      </c>
      <c r="C32" t="s">
        <v>127</v>
      </c>
      <c r="D32">
        <v>970429</v>
      </c>
      <c r="E32" t="s">
        <v>127</v>
      </c>
      <c r="F32" t="s">
        <v>128</v>
      </c>
      <c r="G32" t="s">
        <v>127</v>
      </c>
    </row>
    <row r="33" spans="1:7" x14ac:dyDescent="0.3">
      <c r="A33">
        <v>32</v>
      </c>
      <c r="B33" t="s">
        <v>129</v>
      </c>
      <c r="C33" t="s">
        <v>130</v>
      </c>
      <c r="D33">
        <v>970410</v>
      </c>
      <c r="E33" t="s">
        <v>131</v>
      </c>
      <c r="F33" t="s">
        <v>132</v>
      </c>
      <c r="G33" t="s">
        <v>131</v>
      </c>
    </row>
    <row r="34" spans="1:7" x14ac:dyDescent="0.3">
      <c r="A34">
        <v>33</v>
      </c>
      <c r="B34" t="s">
        <v>133</v>
      </c>
      <c r="C34" t="s">
        <v>134</v>
      </c>
      <c r="D34">
        <v>970440</v>
      </c>
      <c r="E34" t="s">
        <v>135</v>
      </c>
      <c r="F34" t="s">
        <v>136</v>
      </c>
      <c r="G34" t="s">
        <v>135</v>
      </c>
    </row>
    <row r="35" spans="1:7" x14ac:dyDescent="0.3">
      <c r="A35">
        <v>34</v>
      </c>
      <c r="B35" t="s">
        <v>137</v>
      </c>
      <c r="C35" t="s">
        <v>138</v>
      </c>
      <c r="D35">
        <v>970400</v>
      </c>
      <c r="E35" t="s">
        <v>139</v>
      </c>
      <c r="F35" t="s">
        <v>140</v>
      </c>
      <c r="G35" t="s">
        <v>139</v>
      </c>
    </row>
    <row r="36" spans="1:7" x14ac:dyDescent="0.3">
      <c r="A36">
        <v>35</v>
      </c>
      <c r="B36" t="s">
        <v>141</v>
      </c>
      <c r="C36" t="s">
        <v>142</v>
      </c>
      <c r="D36">
        <v>970443</v>
      </c>
      <c r="E36" t="s">
        <v>142</v>
      </c>
      <c r="F36" t="s">
        <v>143</v>
      </c>
      <c r="G36" t="s">
        <v>142</v>
      </c>
    </row>
    <row r="37" spans="1:7" x14ac:dyDescent="0.3">
      <c r="A37">
        <v>36</v>
      </c>
      <c r="B37" t="s">
        <v>144</v>
      </c>
      <c r="C37" t="s">
        <v>145</v>
      </c>
      <c r="D37">
        <v>970403</v>
      </c>
      <c r="E37" t="s">
        <v>146</v>
      </c>
      <c r="F37" t="s">
        <v>147</v>
      </c>
      <c r="G37" t="s">
        <v>146</v>
      </c>
    </row>
    <row r="38" spans="1:7" x14ac:dyDescent="0.3">
      <c r="A38">
        <v>37</v>
      </c>
      <c r="B38" t="s">
        <v>148</v>
      </c>
      <c r="C38" t="s">
        <v>149</v>
      </c>
      <c r="D38">
        <v>970424</v>
      </c>
      <c r="E38" t="s">
        <v>150</v>
      </c>
      <c r="F38" t="s">
        <v>151</v>
      </c>
      <c r="G38" t="s">
        <v>150</v>
      </c>
    </row>
    <row r="39" spans="1:7" x14ac:dyDescent="0.3">
      <c r="A39">
        <v>38</v>
      </c>
      <c r="B39" t="s">
        <v>152</v>
      </c>
      <c r="C39" t="s">
        <v>153</v>
      </c>
      <c r="D39">
        <v>970407</v>
      </c>
      <c r="E39" t="s">
        <v>154</v>
      </c>
      <c r="F39" t="s">
        <v>155</v>
      </c>
      <c r="G39" t="s">
        <v>154</v>
      </c>
    </row>
    <row r="40" spans="1:7" x14ac:dyDescent="0.3">
      <c r="A40">
        <v>39</v>
      </c>
      <c r="B40" t="s">
        <v>156</v>
      </c>
      <c r="C40" t="s">
        <v>157</v>
      </c>
      <c r="D40">
        <v>970423</v>
      </c>
      <c r="E40" t="s">
        <v>158</v>
      </c>
      <c r="F40" t="s">
        <v>159</v>
      </c>
      <c r="G40" t="s">
        <v>158</v>
      </c>
    </row>
    <row r="41" spans="1:7" x14ac:dyDescent="0.3">
      <c r="A41">
        <v>40</v>
      </c>
      <c r="B41" t="s">
        <v>160</v>
      </c>
      <c r="C41" t="s">
        <v>161</v>
      </c>
      <c r="D41">
        <v>970458</v>
      </c>
      <c r="E41" t="s">
        <v>162</v>
      </c>
      <c r="F41" t="s">
        <v>163</v>
      </c>
      <c r="G41" t="s">
        <v>162</v>
      </c>
    </row>
    <row r="42" spans="1:7" x14ac:dyDescent="0.3">
      <c r="A42">
        <v>41</v>
      </c>
      <c r="B42" t="s">
        <v>164</v>
      </c>
      <c r="C42" t="s">
        <v>165</v>
      </c>
      <c r="D42">
        <v>970427</v>
      </c>
      <c r="E42" t="s">
        <v>166</v>
      </c>
      <c r="F42" t="s">
        <v>167</v>
      </c>
      <c r="G42" t="s">
        <v>166</v>
      </c>
    </row>
    <row r="43" spans="1:7" x14ac:dyDescent="0.3">
      <c r="A43">
        <v>42</v>
      </c>
      <c r="B43" t="s">
        <v>168</v>
      </c>
      <c r="C43" t="s">
        <v>169</v>
      </c>
      <c r="D43">
        <v>970405</v>
      </c>
      <c r="E43" t="s">
        <v>170</v>
      </c>
      <c r="F43" t="s">
        <v>171</v>
      </c>
      <c r="G43" t="s">
        <v>170</v>
      </c>
    </row>
    <row r="44" spans="1:7" x14ac:dyDescent="0.3">
      <c r="A44">
        <v>43</v>
      </c>
      <c r="B44" t="s">
        <v>172</v>
      </c>
      <c r="C44" t="s">
        <v>173</v>
      </c>
      <c r="D44">
        <v>970436</v>
      </c>
      <c r="E44" t="s">
        <v>174</v>
      </c>
      <c r="F44" t="s">
        <v>175</v>
      </c>
      <c r="G44" t="s">
        <v>174</v>
      </c>
    </row>
    <row r="45" spans="1:7" x14ac:dyDescent="0.3">
      <c r="A45">
        <v>44</v>
      </c>
      <c r="B45" t="s">
        <v>176</v>
      </c>
      <c r="C45" t="s">
        <v>177</v>
      </c>
      <c r="D45">
        <v>970454</v>
      </c>
      <c r="E45" t="s">
        <v>178</v>
      </c>
      <c r="F45" t="s">
        <v>179</v>
      </c>
      <c r="G45" t="s">
        <v>178</v>
      </c>
    </row>
    <row r="46" spans="1:7" x14ac:dyDescent="0.3">
      <c r="A46">
        <v>45</v>
      </c>
      <c r="B46" t="s">
        <v>180</v>
      </c>
      <c r="C46" t="s">
        <v>181</v>
      </c>
      <c r="D46">
        <v>970441</v>
      </c>
      <c r="E46" t="s">
        <v>181</v>
      </c>
      <c r="F46" t="s">
        <v>182</v>
      </c>
      <c r="G46" t="s">
        <v>181</v>
      </c>
    </row>
    <row r="47" spans="1:7" x14ac:dyDescent="0.3">
      <c r="A47">
        <v>46</v>
      </c>
      <c r="B47" t="s">
        <v>183</v>
      </c>
      <c r="C47" t="s">
        <v>184</v>
      </c>
      <c r="D47">
        <v>970433</v>
      </c>
      <c r="E47" t="s">
        <v>185</v>
      </c>
      <c r="F47" t="s">
        <v>186</v>
      </c>
      <c r="G47" t="s">
        <v>185</v>
      </c>
    </row>
    <row r="48" spans="1:7" x14ac:dyDescent="0.3">
      <c r="A48">
        <v>47</v>
      </c>
      <c r="B48" t="s">
        <v>187</v>
      </c>
      <c r="C48" t="s">
        <v>188</v>
      </c>
      <c r="D48">
        <v>970432</v>
      </c>
      <c r="E48" t="s">
        <v>189</v>
      </c>
      <c r="F48" t="s">
        <v>190</v>
      </c>
      <c r="G48" t="s">
        <v>189</v>
      </c>
    </row>
    <row r="49" spans="1:7" x14ac:dyDescent="0.3">
      <c r="A49">
        <v>48</v>
      </c>
      <c r="B49" t="s">
        <v>191</v>
      </c>
      <c r="C49" t="s">
        <v>192</v>
      </c>
      <c r="D49">
        <v>970421</v>
      </c>
      <c r="E49" t="s">
        <v>192</v>
      </c>
      <c r="F49" t="s">
        <v>193</v>
      </c>
      <c r="G49" t="s">
        <v>192</v>
      </c>
    </row>
    <row r="50" spans="1:7" x14ac:dyDescent="0.3">
      <c r="A50">
        <v>49</v>
      </c>
      <c r="B50" t="s">
        <v>194</v>
      </c>
      <c r="C50" t="s">
        <v>195</v>
      </c>
      <c r="D50">
        <v>970457</v>
      </c>
      <c r="E50" t="s">
        <v>196</v>
      </c>
      <c r="F50" t="s">
        <v>197</v>
      </c>
      <c r="G50" t="s">
        <v>196</v>
      </c>
    </row>
    <row r="51" spans="1:7" x14ac:dyDescent="0.3">
      <c r="A51">
        <v>50</v>
      </c>
      <c r="B51" t="s">
        <v>198</v>
      </c>
      <c r="C51" t="s">
        <v>199</v>
      </c>
      <c r="D51">
        <v>970462</v>
      </c>
      <c r="E51" t="s">
        <v>200</v>
      </c>
      <c r="F51" t="s">
        <v>201</v>
      </c>
      <c r="G51" t="s">
        <v>200</v>
      </c>
    </row>
    <row r="52" spans="1:7" x14ac:dyDescent="0.3">
      <c r="A52">
        <v>51</v>
      </c>
      <c r="B52" t="s">
        <v>202</v>
      </c>
      <c r="C52" t="s">
        <v>203</v>
      </c>
      <c r="D52">
        <v>970463</v>
      </c>
      <c r="E52" t="s">
        <v>204</v>
      </c>
      <c r="F52" t="s">
        <v>205</v>
      </c>
      <c r="G52" t="s">
        <v>204</v>
      </c>
    </row>
    <row r="53" spans="1:7" x14ac:dyDescent="0.3">
      <c r="A53">
        <v>52</v>
      </c>
      <c r="B53" t="s">
        <v>206</v>
      </c>
      <c r="C53" t="s">
        <v>207</v>
      </c>
      <c r="D53">
        <v>970446</v>
      </c>
      <c r="E53" t="s">
        <v>207</v>
      </c>
      <c r="F53" t="s">
        <v>208</v>
      </c>
      <c r="G53" t="s">
        <v>207</v>
      </c>
    </row>
    <row r="54" spans="1:7" x14ac:dyDescent="0.3">
      <c r="A54">
        <v>53</v>
      </c>
      <c r="B54" t="s">
        <v>209</v>
      </c>
      <c r="C54" t="s">
        <v>210</v>
      </c>
      <c r="D54">
        <v>546034</v>
      </c>
      <c r="E54" t="s">
        <v>210</v>
      </c>
      <c r="F54" t="s">
        <v>211</v>
      </c>
      <c r="G54" t="s">
        <v>210</v>
      </c>
    </row>
    <row r="55" spans="1:7" x14ac:dyDescent="0.3">
      <c r="A55">
        <v>54</v>
      </c>
      <c r="B55" t="s">
        <v>212</v>
      </c>
      <c r="C55" t="s">
        <v>213</v>
      </c>
      <c r="D55">
        <v>546035</v>
      </c>
      <c r="E55" t="s">
        <v>213</v>
      </c>
      <c r="F55" t="s">
        <v>214</v>
      </c>
      <c r="G55" t="s">
        <v>213</v>
      </c>
    </row>
    <row r="56" spans="1:7" x14ac:dyDescent="0.3">
      <c r="A56">
        <v>55</v>
      </c>
      <c r="B56" t="s">
        <v>215</v>
      </c>
      <c r="C56" t="s">
        <v>216</v>
      </c>
      <c r="D56">
        <v>668888</v>
      </c>
      <c r="E56" t="s">
        <v>216</v>
      </c>
      <c r="F56" t="s">
        <v>217</v>
      </c>
      <c r="G56" t="s">
        <v>216</v>
      </c>
    </row>
    <row r="57" spans="1:7" x14ac:dyDescent="0.3">
      <c r="A57">
        <v>56</v>
      </c>
      <c r="B57" t="s">
        <v>218</v>
      </c>
      <c r="C57" t="s">
        <v>219</v>
      </c>
      <c r="D57">
        <v>971011</v>
      </c>
      <c r="E57" t="s">
        <v>220</v>
      </c>
      <c r="F57" t="s">
        <v>221</v>
      </c>
      <c r="G57" t="s">
        <v>220</v>
      </c>
    </row>
    <row r="58" spans="1:7" x14ac:dyDescent="0.3">
      <c r="A58">
        <v>57</v>
      </c>
      <c r="B58" t="s">
        <v>222</v>
      </c>
      <c r="C58" t="s">
        <v>223</v>
      </c>
      <c r="D58">
        <v>971005</v>
      </c>
      <c r="E58" t="s">
        <v>224</v>
      </c>
      <c r="F58" t="s">
        <v>225</v>
      </c>
      <c r="G58" t="s">
        <v>224</v>
      </c>
    </row>
    <row r="59" spans="1:7" x14ac:dyDescent="0.3">
      <c r="A59">
        <v>58</v>
      </c>
      <c r="B59" t="s">
        <v>226</v>
      </c>
      <c r="C59" t="s">
        <v>227</v>
      </c>
      <c r="D59">
        <v>963388</v>
      </c>
      <c r="E59" t="s">
        <v>228</v>
      </c>
      <c r="F59" t="s">
        <v>229</v>
      </c>
      <c r="G59" t="s">
        <v>228</v>
      </c>
    </row>
    <row r="60" spans="1:7" x14ac:dyDescent="0.3">
      <c r="A60">
        <v>59</v>
      </c>
      <c r="B60" t="s">
        <v>230</v>
      </c>
      <c r="C60" t="s">
        <v>231</v>
      </c>
      <c r="D60">
        <v>533948</v>
      </c>
      <c r="E60" t="s">
        <v>232</v>
      </c>
      <c r="F60" t="s">
        <v>233</v>
      </c>
      <c r="G60" t="s">
        <v>232</v>
      </c>
    </row>
    <row r="61" spans="1:7" x14ac:dyDescent="0.3">
      <c r="A61">
        <v>60</v>
      </c>
      <c r="B61" t="s">
        <v>234</v>
      </c>
      <c r="C61" t="s">
        <v>235</v>
      </c>
      <c r="D61">
        <v>970466</v>
      </c>
      <c r="E61" t="s">
        <v>236</v>
      </c>
      <c r="F61" t="s">
        <v>237</v>
      </c>
      <c r="G61" t="s">
        <v>236</v>
      </c>
    </row>
    <row r="62" spans="1:7" x14ac:dyDescent="0.3">
      <c r="A62">
        <v>61</v>
      </c>
      <c r="B62" t="s">
        <v>238</v>
      </c>
      <c r="C62" t="s">
        <v>239</v>
      </c>
      <c r="D62">
        <v>970467</v>
      </c>
      <c r="E62" t="s">
        <v>239</v>
      </c>
      <c r="F62" t="s">
        <v>240</v>
      </c>
      <c r="G62" t="s">
        <v>239</v>
      </c>
    </row>
    <row r="63" spans="1:7" x14ac:dyDescent="0.3">
      <c r="A63">
        <v>62</v>
      </c>
      <c r="B63" t="s">
        <v>241</v>
      </c>
      <c r="C63" t="s">
        <v>242</v>
      </c>
      <c r="D63">
        <v>977777</v>
      </c>
      <c r="E63" t="s">
        <v>242</v>
      </c>
      <c r="F63" t="s">
        <v>243</v>
      </c>
      <c r="G63" t="s">
        <v>242</v>
      </c>
    </row>
    <row r="64" spans="1:7" x14ac:dyDescent="0.3">
      <c r="A64">
        <v>63</v>
      </c>
      <c r="B64" t="s">
        <v>244</v>
      </c>
      <c r="C64" t="s">
        <v>245</v>
      </c>
      <c r="D64">
        <v>999888</v>
      </c>
      <c r="E64" t="s">
        <v>245</v>
      </c>
      <c r="F64" t="s">
        <v>246</v>
      </c>
      <c r="G64" t="s">
        <v>245</v>
      </c>
    </row>
    <row r="65" spans="1:7" x14ac:dyDescent="0.3">
      <c r="A65">
        <v>64</v>
      </c>
      <c r="B65" t="s">
        <v>247</v>
      </c>
      <c r="C65" t="s">
        <v>248</v>
      </c>
      <c r="D65">
        <v>971133</v>
      </c>
      <c r="E65" t="s">
        <v>249</v>
      </c>
      <c r="F65" t="s">
        <v>125</v>
      </c>
      <c r="G65" t="s">
        <v>249</v>
      </c>
    </row>
    <row r="66" spans="1:7" x14ac:dyDescent="0.3">
      <c r="A66">
        <v>65</v>
      </c>
      <c r="B66" t="s">
        <v>250</v>
      </c>
      <c r="C66" t="s">
        <v>251</v>
      </c>
      <c r="D66">
        <v>971025</v>
      </c>
      <c r="E66" t="s">
        <v>252</v>
      </c>
      <c r="F66" t="s">
        <v>253</v>
      </c>
      <c r="G66" t="s">
        <v>252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3:G4 A47:H66 B46:H46 A1:G1 A6:H6 A5:G5 A8:H45 A7:G7 A2:G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2026-06-09T15:21:34Z</dcterms:modified>
</cp:coreProperties>
</file>