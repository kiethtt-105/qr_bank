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B7B0E465-2343-43EA-9282-60164ACDA80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<sst xmlns="http://schemas.openxmlformats.org/spreadsheetml/2006/main" count="364" uniqueCount="264">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</sst>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3" sqref="B3:D3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43</v>
      </c>
      <c r="B2" t="s">
        <v>174</v>
      </c>
      <c r="C2" s="3">
        <v>1031451081</v>
      </c>
      <c r="D2" t="s">
        <v>10</v>
      </c>
      <c r="E2" t="str">
        <f>IFERROR((VLOOKUP(A2,'API - io'!$A:$H,5,0)),"-")</f>
        <v>Vietcombank</v>
      </c>
      <c r="F2" t="str">
        <f>IFERROR((VLOOKUP(A2,'API - io'!$A:$H,3,0)),"-")</f>
        <v>VCB</v>
      </c>
      <c r="G2">
        <f>IFERROR((VLOOKUP(A2,'API - io'!$A:$G,4,0)),"-")</f>
        <v>970436</v>
      </c>
      <c r="H2" t="str">
        <f>IFERROR((VLOOKUP(A2,'API - io'!$A:$G,5,0)),"-")</f>
        <v>Vietcombank</v>
      </c>
      <c r="I2" t="str">
        <f>IFERROR((VLOOKUP(A2,'API - io'!$A:$G,6,0)),"-")</f>
        <v>https://cdn.vietqr.io/img/VCB.png</v>
      </c>
      <c r="J2" t="str">
        <f>IFERROR((VLOOKUP(A2,'API - io'!$A:$G,7,0)),"-")</f>
        <v>Vietcombank</v>
      </c>
    </row>
    <row r="3" spans="1:10" x14ac:dyDescent="0.3">
      <c r="A3">
        <v>38</v>
      </c>
      <c r="B3" t="s">
        <v>257</v>
      </c>
      <c r="C3" s="2" t="s">
        <v>254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38</v>
      </c>
      <c r="B4" t="s">
        <v>154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21</v>
      </c>
      <c r="B6" t="s">
        <v>259</v>
      </c>
      <c r="C6" s="2" t="s">
        <v>262</v>
      </c>
      <c r="D6" t="s">
        <v>10</v>
      </c>
      <c r="E6" t="str">
        <f>IFERROR((VLOOKUP(A6,'API - io'!$A:$H,5,0)),"-")</f>
        <v>MBBank</v>
      </c>
      <c r="F6" t="str">
        <f>IFERROR((VLOOKUP(A6,'API - io'!$A:$H,3,0)),"-")</f>
        <v>MB</v>
      </c>
      <c r="G6">
        <f>IFERROR((VLOOKUP(A6,'API - io'!$A:$G,4,0)),"-")</f>
        <v>970422</v>
      </c>
      <c r="H6" t="str">
        <f>IFERROR((VLOOKUP(A6,'API - io'!$A:$G,5,0)),"-")</f>
        <v>MBBank</v>
      </c>
      <c r="I6" t="str">
        <f>IFERROR((VLOOKUP(A6,'API - io'!$A:$G,6,0)),"-")</f>
        <v>https://cdn.vietqr.io/img/MB.png</v>
      </c>
      <c r="J6" t="str">
        <f>IFERROR((VLOOKUP(A6,'API - io'!$A:$G,7,0)),"-")</f>
        <v>MBBank</v>
      </c>
    </row>
    <row r="7" spans="1:10" x14ac:dyDescent="0.3">
      <c r="A7">
        <v>17</v>
      </c>
      <c r="B7" t="s">
        <v>260</v>
      </c>
      <c r="C7" s="2" t="s">
        <v>261</v>
      </c>
      <c r="D7" t="s">
        <v>258</v>
      </c>
      <c r="E7" t="str">
        <f>IFERROR((VLOOKUP(A7,'API - io'!$A:$H,5,0)),"-")</f>
        <v>VietinBank</v>
      </c>
      <c r="F7" t="str">
        <f>IFERROR((VLOOKUP(A7,'API - io'!$A:$H,3,0)),"-")</f>
        <v>ICB</v>
      </c>
      <c r="G7">
        <f>IFERROR((VLOOKUP(A7,'API - io'!$A:$G,4,0)),"-")</f>
        <v>970415</v>
      </c>
      <c r="H7" t="str">
        <f>IFERROR((VLOOKUP(A7,'API - io'!$A:$G,5,0)),"-")</f>
        <v>VietinBank</v>
      </c>
      <c r="I7" t="str">
        <f>IFERROR((VLOOKUP(A7,'API - io'!$A:$G,6,0)),"-")</f>
        <v>https://cdn.vietqr.io/img/ICB.png</v>
      </c>
      <c r="J7" t="str">
        <f>IFERROR((VLOOKUP(A7,'API - io'!$A:$G,7,0)),"-")</f>
        <v>VietinBank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2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C16" workbookViewId="0">
      <selection activeCell="E28" sqref="E28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2026-06-09T16:18:57Z</dcterms:modified>
</cp:coreProperties>
</file>