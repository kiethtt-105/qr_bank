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FD85C564-08DB-4393-B5DB-2435AD8EACA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<sst xmlns="http://schemas.openxmlformats.org/spreadsheetml/2006/main" count="353" uniqueCount="258">
  <si>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</si>
  <si>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</si>
  <si>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</si>
  <si>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</si>
  <si>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</si>
  <si>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</si>
  <si>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</si>
  <si>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</si>
  <si>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</si>
  <si>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</si>
  <si>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</si>
  <si>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</si>
  <si>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</si>
  <si>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</si>
  <si>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</si>
  <si>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</si>
  <si>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</si>
  <si>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</si>
  <si>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</si>
  <si>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</si>
  <si>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</si>
  <si>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</si>
  <si>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</si>
  <si>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</si>
  <si>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</si>
  <si>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</si>
  <si>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</si>
  <si>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</si>
  <si>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</si>
  <si>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</si>
  <si>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</si>
  <si>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</si>
  <si>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</si>
  <si>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</si>
  <si>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</si>
  <si>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</si>
  <si>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</si>
  <si>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</si>
  <si>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</si>
  <si>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</si>
  <si>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</si>
  <si>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</si>
  <si>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</si>
  <si>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</si>
  <si>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</si>
  <si>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</si>
  <si>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</si>
  <si>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</si>
  <si>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</si>
  <si>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</si>
  <si>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</si>
  <si>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</si>
  <si>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</si>
  <si>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</si>
  <si>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</si>
  <si>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</si>
  <si>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</si>
  <si>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</si>
  <si>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</si>
  <si>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</si>
  <si>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</si>
  <si>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</si>
  <si>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</si>
  <si>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</si>
  <si>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</si>
  <si>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</si>
  <si>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</si>
  <si>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</si>
  <si>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</si>
  <si>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</si>
  <si>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</si>
  <si>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</si>
  <si>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</si>
  <si>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</si>
  <si>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</si>
  <si>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</si>
  <si>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</si>
  <si>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</si>
  <si>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</si>
  <si>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</si>
  <si>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</si>
  <si>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</si>
  <si>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</si>
  <si>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</si>
  <si>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</si>
  <si>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</si>
  <si>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</si>
  <si>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</si>
  <si>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</si>
  <si>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</si>
  <si>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</si>
  <si>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</si>
  <si>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</si>
  <si>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</si>
  <si>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</si>
  <si>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</si>
  <si>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</si>
  <si>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</si>
  <si>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</si>
  <si>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</si>
  <si>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</si>
  <si>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</si>
  <si>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</si>
  <si>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</si>
  <si>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</si>
  <si>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</si>
  <si>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</si>
  <si>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</si>
  <si>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</si>
  <si>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</si>
  <si>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</si>
  <si>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</si>
  <si>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</si>
  <si>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</si>
  <si>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</si>
  <si>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</si>
  <si>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</si>
  <si>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</si>
  <si>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</si>
  <si>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</si>
  <si>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</si>
  <si>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</si>
  <si>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</si>
  <si>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</si>
  <si>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</si>
  <si>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</si>
  <si>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</si>
  <si>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</si>
  <si>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</si>
  <si>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</si>
  <si>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</si>
  <si>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</si>
  <si>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</si>
  <si>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</si>
  <si>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</si>
  <si>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</si>
  <si>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</si>
  <si>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</si>
  <si>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</si>
  <si>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</si>
  <si>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</si>
  <si>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</si>
  <si>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</si>
  <si>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</si>
  <si>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</si>
  <si>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</si>
  <si>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</si>
  <si>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</si>
  <si>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</si>
  <si>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</si>
  <si>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</si>
  <si>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</si>
  <si>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</si>
  <si>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</si>
  <si>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</si>
  <si>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</si>
  <si>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</si>
  <si>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</si>
  <si>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</si>
  <si>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</si>
  <si>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</si>
  <si>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</si>
  <si>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</si>
  <si>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</si>
  <si>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</si>
  <si>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</si>
  <si>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</si>
  <si>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</si>
  <si>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</si>
  <si>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</si>
  <si>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</si>
  <si>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</si>
  <si>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</si>
  <si>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</si>
  <si>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</si>
  <si>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</si>
  <si>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</si>
  <si>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</si>
  <si>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</si>
  <si>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</si>
  <si>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</si>
  <si>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</si>
  <si>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</si>
  <si>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</si>
  <si>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</si>
  <si>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</si>
  <si>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</si>
  <si>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</si>
  <si>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</si>
  <si>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</si>
  <si>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</si>
  <si>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</si>
  <si>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</si>
  <si>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</si>
  <si>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</si>
  <si>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</si>
  <si>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</si>
  <si>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</si>
  <si>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</si>
  <si>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</si>
  <si>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</si>
  <si>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</si>
  <si>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</si>
  <si>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</si>
  <si>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</si>
  <si>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</si>
  <si>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</si>
  <si>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</si>
  <si>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</si>
  <si>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</si>
  <si>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</si>
  <si>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</si>
  <si>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</si>
  <si>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</si>
  <si>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</si>
  <si>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</si>
  <si>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</si>
  <si>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</si>
  <si>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</si>
  <si>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</si>
  <si>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</si>
  <si>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</si>
  <si>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</si>
  <si>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</si>
  <si>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</si>
  <si>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</si>
  <si>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</si>
  <si>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</si>
  <si>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</si>
  <si>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</si>
  <si>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</si>
  <si>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</si>
  <si>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</si>
  <si>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</si>
  <si>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</si>
  <si>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</si>
  <si>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</si>
  <si>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</si>
  <si>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</si>
  <si>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</si>
  <si>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</si>
  <si>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</si>
  <si>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</si>
  <si>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</si>
  <si>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</si>
  <si>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</si>
  <si>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</si>
  <si>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</si>
  <si>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</si>
  <si>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</si>
  <si>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</si>
  <si>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</si>
  <si>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</si>
  <si>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</si>
  <si>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</si>
  <si>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TCB_446</t>
  </si>
  <si>
    <t>TCB -iPanDa</t>
  </si>
  <si>
    <t>MS00T09548691713297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</si>
</sst>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A4" sqref="A4:D100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256</v>
      </c>
      <c r="C2" s="1" t="s">
        <v>257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38</v>
      </c>
      <c r="B3" t="s">
        <v>255</v>
      </c>
      <c r="C3">
        <v>44699999999</v>
      </c>
      <c r="D3" t="s">
        <v>10</v>
      </c>
      <c r="E3" t="str">
        <f>IFERROR((VLOOKUP(A3,'API - io'!$A:$H,5,0)),"-")</f>
        <v>Techcombank</v>
      </c>
      <c r="F3" t="str">
        <f>IFERROR((VLOOKUP(A3,'API - io'!$A:$H,3,0)),"-")</f>
        <v>TCB</v>
      </c>
      <c r="G3">
        <f>IFERROR((VLOOKUP(A3,'API - io'!$A:$G,4,0)),"-")</f>
        <v>970407</v>
      </c>
      <c r="H3" t="str">
        <f>IFERROR((VLOOKUP(A3,'API - io'!$A:$G,5,0)),"-")</f>
        <v>Techcombank</v>
      </c>
      <c r="I3" t="str">
        <f>IFERROR((VLOOKUP(A3,'API - io'!$A:$G,6,0)),"-")</f>
        <v>https://cdn.vietqr.io/img/TCB.png</v>
      </c>
      <c r="J3" t="str">
        <f>IFERROR((VLOOKUP(A3,'API - io'!$A:$G,7,0)),"-")</f>
        <v>Techcombank</v>
      </c>
    </row>
    <row r="4" spans="1:10" x14ac:dyDescent="0.3">
      <c r="C4" s="1"/>
      <c r="E4" t="str">
        <f>IFERROR((VLOOKUP(A4,'API - io'!$A:$H,5,0)),"-")</f>
        <v>-</v>
      </c>
      <c r="F4" t="str">
        <f>IFERROR((VLOOKUP(A4,'API - io'!$A:$H,3,0)),"-")</f>
        <v>-</v>
      </c>
      <c r="G4" t="str">
        <f>IFERROR((VLOOKUP(A4,'API - io'!$A:$G,4,0)),"-")</f>
        <v>-</v>
      </c>
      <c r="H4" t="str">
        <f>IFERROR((VLOOKUP(A4,'API - io'!$A:$G,5,0)),"-")</f>
        <v>-</v>
      </c>
      <c r="I4" t="str">
        <f>IFERROR((VLOOKUP(A4,'API - io'!$A:$G,6,0)),"-")</f>
        <v>-</v>
      </c>
      <c r="J4" t="str">
        <f>IFERROR((VLOOKUP(A4,'API - io'!$A:$G,7,0)),"-")</f>
        <v>-</v>
      </c>
    </row>
    <row r="5" spans="1:10" x14ac:dyDescent="0.3">
      <c r="C5" s="1"/>
      <c r="E5" t="str">
        <f>IFERROR((VLOOKUP(A5,'API - io'!$A:$H,5,0)),"-")</f>
        <v>-</v>
      </c>
      <c r="F5" t="str">
        <f>IFERROR((VLOOKUP(A5,'API - io'!$A:$H,3,0)),"-")</f>
        <v>-</v>
      </c>
      <c r="G5" t="str">
        <f>IFERROR((VLOOKUP(A5,'API - io'!$A:$G,4,0)),"-")</f>
        <v>-</v>
      </c>
      <c r="H5" t="str">
        <f>IFERROR((VLOOKUP(A5,'API - io'!$A:$G,5,0)),"-")</f>
        <v>-</v>
      </c>
      <c r="I5" t="str">
        <f>IFERROR((VLOOKUP(A5,'API - io'!$A:$G,6,0)),"-")</f>
        <v>-</v>
      </c>
      <c r="J5" t="str">
        <f>IFERROR((VLOOKUP(A5,'API - io'!$A:$G,7,0)),"-")</f>
        <v>-</v>
      </c>
    </row>
    <row r="6" spans="1:10" x14ac:dyDescent="0.3">
      <c r="C6" s="1"/>
      <c r="E6" t="str">
        <f>IFERROR((VLOOKUP(A6,'API - io'!$A:$H,5,0)),"-")</f>
        <v>-</v>
      </c>
      <c r="F6" t="str">
        <f>IFERROR((VLOOKUP(A6,'API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3">
      <c r="C7" s="1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C8" s="1"/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C9" s="1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1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C11" s="1"/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ignoredErrors>
    <ignoredError sqref="A1:J1 A3 C3:D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34" workbookViewId="0">
      <selection activeCell="A46" sqref="A46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x14ac:dyDescent="0.3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x14ac:dyDescent="0.3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x14ac:dyDescent="0.3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x14ac:dyDescent="0.3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x14ac:dyDescent="0.3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x14ac:dyDescent="0.3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x14ac:dyDescent="0.3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x14ac:dyDescent="0.3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x14ac:dyDescent="0.3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x14ac:dyDescent="0.3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x14ac:dyDescent="0.3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x14ac:dyDescent="0.3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x14ac:dyDescent="0.3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x14ac:dyDescent="0.3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x14ac:dyDescent="0.3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x14ac:dyDescent="0.3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x14ac:dyDescent="0.3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x14ac:dyDescent="0.3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x14ac:dyDescent="0.3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x14ac:dyDescent="0.3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x14ac:dyDescent="0.3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x14ac:dyDescent="0.3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x14ac:dyDescent="0.3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x14ac:dyDescent="0.3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x14ac:dyDescent="0.3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x14ac:dyDescent="0.3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x14ac:dyDescent="0.3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x14ac:dyDescent="0.3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x14ac:dyDescent="0.3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x14ac:dyDescent="0.3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x14ac:dyDescent="0.3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x14ac:dyDescent="0.3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x14ac:dyDescent="0.3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x14ac:dyDescent="0.3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x14ac:dyDescent="0.3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x14ac:dyDescent="0.3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x14ac:dyDescent="0.3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x14ac:dyDescent="0.3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x14ac:dyDescent="0.3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x14ac:dyDescent="0.3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x14ac:dyDescent="0.3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x14ac:dyDescent="0.3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x14ac:dyDescent="0.3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x14ac:dyDescent="0.3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x14ac:dyDescent="0.3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x14ac:dyDescent="0.3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x14ac:dyDescent="0.3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x14ac:dyDescent="0.3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x14ac:dyDescent="0.3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x14ac:dyDescent="0.3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x14ac:dyDescent="0.3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x14ac:dyDescent="0.3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x14ac:dyDescent="0.3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x14ac:dyDescent="0.3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x14ac:dyDescent="0.3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x14ac:dyDescent="0.3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x14ac:dyDescent="0.3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x14ac:dyDescent="0.3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x14ac:dyDescent="0.3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x14ac:dyDescent="0.3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x14ac:dyDescent="0.3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x14ac:dyDescent="0.3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x14ac:dyDescent="0.3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x14ac:dyDescent="0.3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x14ac:dyDescent="0.3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6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2026-06-04T03:36:19Z</dcterms:modified>
</cp:coreProperties>
</file>