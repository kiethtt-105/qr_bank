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ist_bank" sheetId="1" r:id="rId1"/>
    <sheet name="API - io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26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CB.png" TargetMode="External"/><Relationship Id="rId3" Type="http://schemas.openxmlformats.org/officeDocument/2006/relationships/hyperlink" Target="https://cdn.vietqr.io/img/BAB.png" TargetMode="External"/><Relationship Id="rId4" Type="http://schemas.openxmlformats.org/officeDocument/2006/relationships/hyperlink" Target="https://cdn.vietqr.io/img/BIDV.png" TargetMode="External"/><Relationship Id="rId5" Type="http://schemas.openxmlformats.org/officeDocument/2006/relationships/hyperlink" Target="https://cdn.vietqr.io/img/BVB.png" TargetMode="External"/><Relationship Id="rId6" Type="http://schemas.openxmlformats.org/officeDocument/2006/relationships/hyperlink" Target="https://cdn.vietqr.io/img/CBB.png" TargetMode="External"/><Relationship Id="rId7" Type="http://schemas.openxmlformats.org/officeDocument/2006/relationships/hyperlink" Target="https://cdn.vietqr.io/img/CIMB.png" TargetMode="External"/><Relationship Id="rId8" Type="http://schemas.openxmlformats.org/officeDocument/2006/relationships/hyperlink" Target="https://cdn.vietqr.io/img/DBS.png" TargetMode="External"/><Relationship Id="rId9" Type="http://schemas.openxmlformats.org/officeDocument/2006/relationships/hyperlink" Target="https://cdn.vietqr.io/img/Vikki.png" TargetMode="External"/><Relationship Id="rId10" Type="http://schemas.openxmlformats.org/officeDocument/2006/relationships/hyperlink" Target="https://cdn.vietqr.io/img/EIB.png" TargetMode="External"/><Relationship Id="rId11" Type="http://schemas.openxmlformats.org/officeDocument/2006/relationships/hyperlink" Target="https://cdn.vietqr.io/img/GPB.png" TargetMode="External"/><Relationship Id="rId12" Type="http://schemas.openxmlformats.org/officeDocument/2006/relationships/hyperlink" Target="https://cdn.vietqr.io/img/HDB.png" TargetMode="External"/><Relationship Id="rId13" Type="http://schemas.openxmlformats.org/officeDocument/2006/relationships/hyperlink" Target="https://cdn.vietqr.io/img/HLBVN.png" TargetMode="External"/><Relationship Id="rId14" Type="http://schemas.openxmlformats.org/officeDocument/2006/relationships/hyperlink" Target="https://cdn.vietqr.io/img/HSBC.png" TargetMode="External"/><Relationship Id="rId15" Type="http://schemas.openxmlformats.org/officeDocument/2006/relationships/hyperlink" Target="https://cdn.vietqr.io/img/IBK.png" TargetMode="External"/><Relationship Id="rId16" Type="http://schemas.openxmlformats.org/officeDocument/2006/relationships/hyperlink" Target="https://cdn.vietqr.io/img/IBK.png" TargetMode="External"/><Relationship Id="rId17" Type="http://schemas.openxmlformats.org/officeDocument/2006/relationships/hyperlink" Target="https://cdn.vietqr.io/img/ICB.png" TargetMode="External"/><Relationship Id="rId18" Type="http://schemas.openxmlformats.org/officeDocument/2006/relationships/hyperlink" Target="https://cdn.vietqr.io/img/IVB.png" TargetMode="External"/><Relationship Id="rId19" Type="http://schemas.openxmlformats.org/officeDocument/2006/relationships/hyperlink" Target="https://cdn.vietqr.io/img/KLB.png" TargetMode="External"/><Relationship Id="rId20" Type="http://schemas.openxmlformats.org/officeDocument/2006/relationships/hyperlink" Target="https://cdn.vietqr.io/img/LPB.png" TargetMode="External"/><Relationship Id="rId21" Type="http://schemas.openxmlformats.org/officeDocument/2006/relationships/hyperlink" Target="https://cdn.vietqr.io/img/MB.png" TargetMode="External"/><Relationship Id="rId22" Type="http://schemas.openxmlformats.org/officeDocument/2006/relationships/hyperlink" Target="https://cdn.vietqr.io/img/MSB.png" TargetMode="External"/><Relationship Id="rId23" Type="http://schemas.openxmlformats.org/officeDocument/2006/relationships/hyperlink" Target="https://cdn.vietqr.io/img/NAB.png" TargetMode="External"/><Relationship Id="rId24" Type="http://schemas.openxmlformats.org/officeDocument/2006/relationships/hyperlink" Target="https://cdn.vietqr.io/img/NCB.png" TargetMode="External"/><Relationship Id="rId25" Type="http://schemas.openxmlformats.org/officeDocument/2006/relationships/hyperlink" Target="https://cdn.vietqr.io/img/NHB.png" TargetMode="External"/><Relationship Id="rId26" Type="http://schemas.openxmlformats.org/officeDocument/2006/relationships/hyperlink" Target="https://cdn.vietqr.io/img/OCB.png" TargetMode="External"/><Relationship Id="rId27" Type="http://schemas.openxmlformats.org/officeDocument/2006/relationships/hyperlink" Target="https://cdn.vietqr.io/img/MBV.png" TargetMode="External"/><Relationship Id="rId28" Type="http://schemas.openxmlformats.org/officeDocument/2006/relationships/hyperlink" Target="https://cdn.vietqr.io/img/PBVN.png" TargetMode="External"/><Relationship Id="rId29" Type="http://schemas.openxmlformats.org/officeDocument/2006/relationships/hyperlink" Target="https://cdn.vietqr.io/img/PGB.png" TargetMode="External"/><Relationship Id="rId30" Type="http://schemas.openxmlformats.org/officeDocument/2006/relationships/hyperlink" Target="https://cdn.vietqr.io/img/PVCB.png" TargetMode="External"/><Relationship Id="rId31" Type="http://schemas.openxmlformats.org/officeDocument/2006/relationships/hyperlink" Target="https://cdn.vietqr.io/img/SCB.png" TargetMode="External"/><Relationship Id="rId32" Type="http://schemas.openxmlformats.org/officeDocument/2006/relationships/hyperlink" Target="https://cdn.vietqr.io/img/SCVN.png" TargetMode="External"/><Relationship Id="rId33" Type="http://schemas.openxmlformats.org/officeDocument/2006/relationships/hyperlink" Target="https://cdn.vietqr.io/img/SEAB.png" TargetMode="External"/><Relationship Id="rId34" Type="http://schemas.openxmlformats.org/officeDocument/2006/relationships/hyperlink" Target="https://cdn.vietqr.io/img/SGICB.png" TargetMode="External"/><Relationship Id="rId35" Type="http://schemas.openxmlformats.org/officeDocument/2006/relationships/hyperlink" Target="https://cdn.vietqr.io/img/SHB.png" TargetMode="External"/><Relationship Id="rId36" Type="http://schemas.openxmlformats.org/officeDocument/2006/relationships/hyperlink" Target="https://cdn.vietqr.io/img/STB.png" TargetMode="External"/><Relationship Id="rId37" Type="http://schemas.openxmlformats.org/officeDocument/2006/relationships/hyperlink" Target="https://cdn.vietqr.io/img/SHBVN.png" TargetMode="External"/><Relationship Id="rId38" Type="http://schemas.openxmlformats.org/officeDocument/2006/relationships/hyperlink" Target="https://cdn.vietqr.io/img/TCB.png" TargetMode="External"/><Relationship Id="rId39" Type="http://schemas.openxmlformats.org/officeDocument/2006/relationships/hyperlink" Target="https://cdn.vietqr.io/img/TPB.png" TargetMode="External"/><Relationship Id="rId40" Type="http://schemas.openxmlformats.org/officeDocument/2006/relationships/hyperlink" Target="https://cdn.vietqr.io/img/UOB.png" TargetMode="External"/><Relationship Id="rId41" Type="http://schemas.openxmlformats.org/officeDocument/2006/relationships/hyperlink" Target="https://cdn.vietqr.io/img/VAB.png" TargetMode="External"/><Relationship Id="rId42" Type="http://schemas.openxmlformats.org/officeDocument/2006/relationships/hyperlink" Target="https://cdn.vietqr.io/img/VBA.png" TargetMode="External"/><Relationship Id="rId43" Type="http://schemas.openxmlformats.org/officeDocument/2006/relationships/hyperlink" Target="https://cdn.vietqr.io/img/VCB.png" TargetMode="External"/><Relationship Id="rId44" Type="http://schemas.openxmlformats.org/officeDocument/2006/relationships/hyperlink" Target="https://cdn.vietqr.io/img/VCCB.png" TargetMode="External"/><Relationship Id="rId45" Type="http://schemas.openxmlformats.org/officeDocument/2006/relationships/hyperlink" Target="https://cdn.vietqr.io/img/VIB.png" TargetMode="External"/><Relationship Id="rId46" Type="http://schemas.openxmlformats.org/officeDocument/2006/relationships/hyperlink" Target="https://cdn.vietqr.io/img/VIETBANK.png" TargetMode="External"/><Relationship Id="rId47" Type="http://schemas.openxmlformats.org/officeDocument/2006/relationships/hyperlink" Target="https://cdn.vietqr.io/img/VPB.png" TargetMode="External"/><Relationship Id="rId48" Type="http://schemas.openxmlformats.org/officeDocument/2006/relationships/hyperlink" Target="https://cdn.vietqr.io/img/VRB.png" TargetMode="External"/><Relationship Id="rId49" Type="http://schemas.openxmlformats.org/officeDocument/2006/relationships/hyperlink" Target="https://cdn.vietqr.io/img/WVN.png" TargetMode="External"/><Relationship Id="rId50" Type="http://schemas.openxmlformats.org/officeDocument/2006/relationships/hyperlink" Target="https://cdn.vietqr.io/img/KBHN.png" TargetMode="External"/><Relationship Id="rId51" Type="http://schemas.openxmlformats.org/officeDocument/2006/relationships/hyperlink" Target="https://cdn.vietqr.io/img/KBHCM.png" TargetMode="External"/><Relationship Id="rId52" Type="http://schemas.openxmlformats.org/officeDocument/2006/relationships/hyperlink" Target="https://cdn.vietqr.io/img/COOPBANK.png" TargetMode="External"/><Relationship Id="rId53" Type="http://schemas.openxmlformats.org/officeDocument/2006/relationships/hyperlink" Target="https://cdn.vietqr.io/img/CAKE.png" TargetMode="External"/><Relationship Id="rId54" Type="http://schemas.openxmlformats.org/officeDocument/2006/relationships/hyperlink" Target="https://cdn.vietqr.io/img/UBANK.png" TargetMode="External"/><Relationship Id="rId55" Type="http://schemas.openxmlformats.org/officeDocument/2006/relationships/hyperlink" Target="https://cdn.vietqr.io/img/KBANK.png" TargetMode="External"/><Relationship Id="rId56" Type="http://schemas.openxmlformats.org/officeDocument/2006/relationships/hyperlink" Target="https://cdn.vietqr.io/img/VNPTMONEY.png" TargetMode="External"/><Relationship Id="rId57" Type="http://schemas.openxmlformats.org/officeDocument/2006/relationships/hyperlink" Target="https://cdn.vietqr.io/img/VIETTELMONEY.png" TargetMode="External"/><Relationship Id="rId58" Type="http://schemas.openxmlformats.org/officeDocument/2006/relationships/hyperlink" Target="https://vietqr.net/portal-service/resources/icons/TIMO.png" TargetMode="External"/><Relationship Id="rId59" Type="http://schemas.openxmlformats.org/officeDocument/2006/relationships/hyperlink" Target="https://cdn.vietqr.io/img/CITIBANK.png" TargetMode="External"/><Relationship Id="rId60" Type="http://schemas.openxmlformats.org/officeDocument/2006/relationships/hyperlink" Target="https://cdn.vietqr.io/img/KEBHANAHCM.png" TargetMode="External"/><Relationship Id="rId61" Type="http://schemas.openxmlformats.org/officeDocument/2006/relationships/hyperlink" Target="https://cdn.vietqr.io/img/KEBHANAHN.png" TargetMode="External"/><Relationship Id="rId62" Type="http://schemas.openxmlformats.org/officeDocument/2006/relationships/hyperlink" Target="https://cdn.vietqr.io/img/MAFC.png" TargetMode="External"/><Relationship Id="rId63" Type="http://schemas.openxmlformats.org/officeDocument/2006/relationships/hyperlink" Target="https://cdn.vietqr.io/img/VBSP.png" TargetMode="External"/><Relationship Id="rId64" Type="http://schemas.openxmlformats.org/officeDocument/2006/relationships/hyperlink" Target="https://cdn.vietqr.io/img/PVCB.png" TargetMode="External"/><Relationship Id="rId65" Type="http://schemas.openxmlformats.org/officeDocument/2006/relationships/hyperlink" Target="https://cdn.vietqr.io/img/momo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workbookViewId="0" rightToLeft="0"/>
  </sheetViews>
  <sheetData>
    <row r="1">
      <c r="A1" t="str">
        <v>data__id</v>
      </c>
      <c r="B1" t="str">
        <v>list_name</v>
      </c>
      <c r="C1" t="str">
        <v>data_num</v>
      </c>
      <c r="D1" t="str">
        <v>name_ac</v>
      </c>
      <c r="E1" t="str">
        <v>data__name</v>
      </c>
      <c r="F1" t="str">
        <v>data__code</v>
      </c>
      <c r="G1" t="str">
        <v>data__bin</v>
      </c>
      <c r="H1" t="str">
        <v>data__shortName</v>
      </c>
      <c r="I1" t="str">
        <v>data__logo</v>
      </c>
      <c r="J1" t="str">
        <v>data__short_name</v>
      </c>
    </row>
    <row r="2">
      <c r="A2">
        <v>38</v>
      </c>
      <c r="B2" t="str">
        <f>IFERROR((VLOOKUP(Table1[[#This Row],[data__id]],'API - io'!$A:$H,3,0)),"-")</f>
        <v>TCB</v>
      </c>
      <c r="C2">
        <v>44699999999</v>
      </c>
      <c r="D2" t="str">
        <v>Huynh Tran Tuan Kiet</v>
      </c>
      <c r="E2" t="str">
        <f>IFERROR((VLOOKUP(Table1[[#This Row],[data__id]],'API - io'!$A:$H,5,0)),"-")</f>
        <v>Techcombank</v>
      </c>
      <c r="F2" t="str">
        <f>IFERROR((VLOOKUP(Table1[[#This Row],[data__id]],'API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>
      <c r="A3">
        <v>43</v>
      </c>
      <c r="B3" t="str">
        <f>IFERROR((VLOOKUP(Table1[[#This Row],[data__id]],'API - io'!$A:$H,3,0)),"-")</f>
        <v>VCB</v>
      </c>
      <c r="C3">
        <v>1031451081</v>
      </c>
      <c r="D3" t="str">
        <v>Huynh Tran Tuan Kiet</v>
      </c>
      <c r="E3" t="str">
        <f>IFERROR((VLOOKUP(Table1[[#This Row],[data__id]],'API - io'!$A:$H,5,0)),"-")</f>
        <v>Vietcombank</v>
      </c>
      <c r="F3" t="str">
        <f>IFERROR((VLOOKUP(Table1[[#This Row],[data__id]],'API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>
      <c r="B4" t="str">
        <f>IFERROR((VLOOKUP(Table1[[#This Row],[data__id]],'API - io'!$A:$H,3,0)),"-")</f>
        <v>-</v>
      </c>
      <c r="E4" t="str">
        <f>IFERROR((VLOOKUP(Table1[[#This Row],[data__id]],'API - io'!$A:$H,5,0)),"-")</f>
        <v>-</v>
      </c>
      <c r="F4" t="str">
        <f>IFERROR((VLOOKUP(Table1[[#This Row],[data__id]],'API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>
      <c r="B5" t="str">
        <f>IFERROR((VLOOKUP(Table1[[#This Row],[data__id]],'API - io'!$A:$H,3,0)),"-")</f>
        <v>-</v>
      </c>
      <c r="E5" t="str">
        <f>IFERROR((VLOOKUP(Table1[[#This Row],[data__id]],'API - io'!$A:$H,5,0)),"-")</f>
        <v>-</v>
      </c>
      <c r="F5" t="str">
        <f>IFERROR((VLOOKUP(Table1[[#This Row],[data__id]],'API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>
      <c r="B6" t="str">
        <f>IFERROR((VLOOKUP(Table1[[#This Row],[data__id]],'API - io'!$A:$H,3,0)),"-")</f>
        <v>-</v>
      </c>
      <c r="E6" t="str">
        <f>IFERROR((VLOOKUP(Table1[[#This Row],[data__id]],'API - io'!$A:$H,5,0)),"-")</f>
        <v>-</v>
      </c>
      <c r="F6" t="str">
        <f>IFERROR((VLOOKUP(Table1[[#This Row],[data__id]],'API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>
      <c r="B7" t="str">
        <f>IFERROR((VLOOKUP(Table1[[#This Row],[data__id]],'API - io'!$A:$H,3,0)),"-")</f>
        <v>-</v>
      </c>
      <c r="E7" t="str">
        <f>IFERROR((VLOOKUP(Table1[[#This Row],[data__id]],'API - io'!$A:$H,5,0)),"-")</f>
        <v>-</v>
      </c>
      <c r="F7" t="str">
        <f>IFERROR((VLOOKUP(Table1[[#This Row],[data__id]],'API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>
      <c r="B8" t="str">
        <f>IFERROR((VLOOKUP(Table1[[#This Row],[data__id]],'API - io'!$A:$H,3,0)),"-")</f>
        <v>-</v>
      </c>
      <c r="E8" t="str">
        <f>IFERROR((VLOOKUP(Table1[[#This Row],[data__id]],'API - io'!$A:$H,5,0)),"-")</f>
        <v>-</v>
      </c>
      <c r="F8" t="str">
        <f>IFERROR((VLOOKUP(Table1[[#This Row],[data__id]],'API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>
      <c r="B9" t="str">
        <f>IFERROR((VLOOKUP(Table1[[#This Row],[data__id]],'API - io'!$A:$H,3,0)),"-")</f>
        <v>-</v>
      </c>
      <c r="E9" t="str">
        <f>IFERROR((VLOOKUP(Table1[[#This Row],[data__id]],'API - io'!$A:$H,5,0)),"-")</f>
        <v>-</v>
      </c>
      <c r="F9" t="str">
        <f>IFERROR((VLOOKUP(Table1[[#This Row],[data__id]],'API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>
      <c r="B10" t="str">
        <f>IFERROR((VLOOKUP(Table1[[#This Row],[data__id]],'API - io'!$A:$H,3,0)),"-")</f>
        <v>-</v>
      </c>
      <c r="E10" t="str">
        <f>IFERROR((VLOOKUP(Table1[[#This Row],[data__id]],'API - io'!$A:$H,5,0)),"-")</f>
        <v>-</v>
      </c>
      <c r="F10" t="str">
        <f>IFERROR((VLOOKUP(Table1[[#This Row],[data__id]],'API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>
      <c r="B11" t="str">
        <f>IFERROR((VLOOKUP(Table1[[#This Row],[data__id]],'API - io'!$A:$H,3,0)),"-")</f>
        <v>-</v>
      </c>
      <c r="E11" t="str">
        <f>IFERROR((VLOOKUP(Table1[[#This Row],[data__id]],'API - io'!$A:$H,5,0)),"-")</f>
        <v>-</v>
      </c>
      <c r="F11" t="str">
        <f>IFERROR((VLOOKUP(Table1[[#This Row],[data__id]],'API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>
      <c r="B12" t="str">
        <f>IFERROR((VLOOKUP(Table1[[#This Row],[data__id]],'API - io'!$A:$H,3,0)),"-")</f>
        <v>-</v>
      </c>
      <c r="E12" t="str">
        <f>IFERROR((VLOOKUP(Table1[[#This Row],[data__id]],'API - io'!$A:$H,5,0)),"-")</f>
        <v>-</v>
      </c>
      <c r="F12" t="str">
        <f>IFERROR((VLOOKUP(Table1[[#This Row],[data__id]],'API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>
      <c r="B13" t="str">
        <f>IFERROR((VLOOKUP(Table1[[#This Row],[data__id]],'API - io'!$A:$H,3,0)),"-")</f>
        <v>-</v>
      </c>
      <c r="E13" t="str">
        <f>IFERROR((VLOOKUP(Table1[[#This Row],[data__id]],'API - io'!$A:$H,5,0)),"-")</f>
        <v>-</v>
      </c>
      <c r="F13" t="str">
        <f>IFERROR((VLOOKUP(Table1[[#This Row],[data__id]],'API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>
      <c r="B14" t="str">
        <f>IFERROR((VLOOKUP(Table1[[#This Row],[data__id]],'API - io'!$A:$H,3,0)),"-")</f>
        <v>-</v>
      </c>
      <c r="E14" t="str">
        <f>IFERROR((VLOOKUP(Table1[[#This Row],[data__id]],'API - io'!$A:$H,5,0)),"-")</f>
        <v>-</v>
      </c>
      <c r="F14" t="str">
        <f>IFERROR((VLOOKUP(Table1[[#This Row],[data__id]],'API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>
      <c r="B15" t="str">
        <f>IFERROR((VLOOKUP(Table1[[#This Row],[data__id]],'API - io'!$A:$H,3,0)),"-")</f>
        <v>-</v>
      </c>
      <c r="E15" t="str">
        <f>IFERROR((VLOOKUP(Table1[[#This Row],[data__id]],'API - io'!$A:$H,5,0)),"-")</f>
        <v>-</v>
      </c>
      <c r="F15" t="str">
        <f>IFERROR((VLOOKUP(Table1[[#This Row],[data__id]],'API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>
      <c r="B16" t="str">
        <f>IFERROR((VLOOKUP(Table1[[#This Row],[data__id]],'API - io'!$A:$H,3,0)),"-")</f>
        <v>-</v>
      </c>
      <c r="E16" t="str">
        <f>IFERROR((VLOOKUP(Table1[[#This Row],[data__id]],'API - io'!$A:$H,5,0)),"-")</f>
        <v>-</v>
      </c>
      <c r="F16" t="str">
        <f>IFERROR((VLOOKUP(Table1[[#This Row],[data__id]],'API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>
      <c r="B17" t="str">
        <f>IFERROR((VLOOKUP(Table1[[#This Row],[data__id]],'API - io'!$A:$H,3,0)),"-")</f>
        <v>-</v>
      </c>
      <c r="E17" t="str">
        <f>IFERROR((VLOOKUP(Table1[[#This Row],[data__id]],'API - io'!$A:$H,5,0)),"-")</f>
        <v>-</v>
      </c>
      <c r="F17" t="str">
        <f>IFERROR((VLOOKUP(Table1[[#This Row],[data__id]],'API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>
      <c r="B18" t="str">
        <f>IFERROR((VLOOKUP(Table1[[#This Row],[data__id]],'API - io'!$A:$H,3,0)),"-")</f>
        <v>-</v>
      </c>
      <c r="E18" t="str">
        <f>IFERROR((VLOOKUP(Table1[[#This Row],[data__id]],'API - io'!$A:$H,5,0)),"-")</f>
        <v>-</v>
      </c>
      <c r="F18" t="str">
        <f>IFERROR((VLOOKUP(Table1[[#This Row],[data__id]],'API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>
      <c r="B19" t="str">
        <f>IFERROR((VLOOKUP(Table1[[#This Row],[data__id]],'API - io'!$A:$H,3,0)),"-")</f>
        <v>-</v>
      </c>
      <c r="E19" t="str">
        <f>IFERROR((VLOOKUP(Table1[[#This Row],[data__id]],'API - io'!$A:$H,5,0)),"-")</f>
        <v>-</v>
      </c>
      <c r="F19" t="str">
        <f>IFERROR((VLOOKUP(Table1[[#This Row],[data__id]],'API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>
      <c r="B20" t="str">
        <f>IFERROR((VLOOKUP(Table1[[#This Row],[data__id]],'API - io'!$A:$H,3,0)),"-")</f>
        <v>-</v>
      </c>
      <c r="E20" t="str">
        <f>IFERROR((VLOOKUP(Table1[[#This Row],[data__id]],'API - io'!$A:$H,5,0)),"-")</f>
        <v>-</v>
      </c>
      <c r="F20" t="str">
        <f>IFERROR((VLOOKUP(Table1[[#This Row],[data__id]],'API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>
      <c r="B21" t="str">
        <f>IFERROR((VLOOKUP(Table1[[#This Row],[data__id]],'API - io'!$A:$H,3,0)),"-")</f>
        <v>-</v>
      </c>
      <c r="E21" t="str">
        <f>IFERROR((VLOOKUP(Table1[[#This Row],[data__id]],'API - io'!$A:$H,5,0)),"-")</f>
        <v>-</v>
      </c>
      <c r="F21" t="str">
        <f>IFERROR((VLOOKUP(Table1[[#This Row],[data__id]],'API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>
      <c r="B22" t="str">
        <f>IFERROR((VLOOKUP(Table1[[#This Row],[data__id]],'API - io'!$A:$H,3,0)),"-")</f>
        <v>-</v>
      </c>
      <c r="E22" t="str">
        <f>IFERROR((VLOOKUP(Table1[[#This Row],[data__id]],'API - io'!$A:$H,5,0)),"-")</f>
        <v>-</v>
      </c>
      <c r="F22" t="str">
        <f>IFERROR((VLOOKUP(Table1[[#This Row],[data__id]],'API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>
      <c r="B23" t="str">
        <f>IFERROR((VLOOKUP(Table1[[#This Row],[data__id]],'API - io'!$A:$H,3,0)),"-")</f>
        <v>-</v>
      </c>
      <c r="E23" t="str">
        <f>IFERROR((VLOOKUP(Table1[[#This Row],[data__id]],'API - io'!$A:$H,5,0)),"-")</f>
        <v>-</v>
      </c>
      <c r="F23" t="str">
        <f>IFERROR((VLOOKUP(Table1[[#This Row],[data__id]],'API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>
      <c r="B24" t="str">
        <f>IFERROR((VLOOKUP(Table1[[#This Row],[data__id]],'API - io'!$A:$H,3,0)),"-")</f>
        <v>-</v>
      </c>
      <c r="E24" t="str">
        <f>IFERROR((VLOOKUP(Table1[[#This Row],[data__id]],'API - io'!$A:$H,5,0)),"-")</f>
        <v>-</v>
      </c>
      <c r="F24" t="str">
        <f>IFERROR((VLOOKUP(Table1[[#This Row],[data__id]],'API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>
      <c r="B25" t="str">
        <f>IFERROR((VLOOKUP(Table1[[#This Row],[data__id]],'API - io'!$A:$H,3,0)),"-")</f>
        <v>-</v>
      </c>
      <c r="E25" t="str">
        <f>IFERROR((VLOOKUP(Table1[[#This Row],[data__id]],'API - io'!$A:$H,5,0)),"-")</f>
        <v>-</v>
      </c>
      <c r="F25" t="str">
        <f>IFERROR((VLOOKUP(Table1[[#This Row],[data__id]],'API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>
      <c r="B26" t="str">
        <f>IFERROR((VLOOKUP(Table1[[#This Row],[data__id]],'API - io'!$A:$H,3,0)),"-")</f>
        <v>-</v>
      </c>
      <c r="E26" t="str">
        <f>IFERROR((VLOOKUP(Table1[[#This Row],[data__id]],'API - io'!$A:$H,5,0)),"-")</f>
        <v>-</v>
      </c>
      <c r="F26" t="str">
        <f>IFERROR((VLOOKUP(Table1[[#This Row],[data__id]],'API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>
      <c r="B27" t="str">
        <f>IFERROR((VLOOKUP(Table1[[#This Row],[data__id]],'API - io'!$A:$H,3,0)),"-")</f>
        <v>-</v>
      </c>
      <c r="E27" t="str">
        <f>IFERROR((VLOOKUP(Table1[[#This Row],[data__id]],'API - io'!$A:$H,5,0)),"-")</f>
        <v>-</v>
      </c>
      <c r="F27" t="str">
        <f>IFERROR((VLOOKUP(Table1[[#This Row],[data__id]],'API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>
      <c r="B28" t="str">
        <f>IFERROR((VLOOKUP(Table1[[#This Row],[data__id]],'API - io'!$A:$H,3,0)),"-")</f>
        <v>-</v>
      </c>
      <c r="E28" t="str">
        <f>IFERROR((VLOOKUP(Table1[[#This Row],[data__id]],'API - io'!$A:$H,5,0)),"-")</f>
        <v>-</v>
      </c>
      <c r="F28" t="str">
        <f>IFERROR((VLOOKUP(Table1[[#This Row],[data__id]],'API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>
      <c r="B29" t="str">
        <f>IFERROR((VLOOKUP(Table1[[#This Row],[data__id]],'API - io'!$A:$H,3,0)),"-")</f>
        <v>-</v>
      </c>
      <c r="E29" t="str">
        <f>IFERROR((VLOOKUP(Table1[[#This Row],[data__id]],'API - io'!$A:$H,5,0)),"-")</f>
        <v>-</v>
      </c>
      <c r="F29" t="str">
        <f>IFERROR((VLOOKUP(Table1[[#This Row],[data__id]],'API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>
      <c r="B30" t="str">
        <f>IFERROR((VLOOKUP(Table1[[#This Row],[data__id]],'API - io'!$A:$H,3,0)),"-")</f>
        <v>-</v>
      </c>
      <c r="E30" t="str">
        <f>IFERROR((VLOOKUP(Table1[[#This Row],[data__id]],'API - io'!$A:$H,5,0)),"-")</f>
        <v>-</v>
      </c>
      <c r="F30" t="str">
        <f>IFERROR((VLOOKUP(Table1[[#This Row],[data__id]],'API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>
      <c r="B31" t="str">
        <f>IFERROR((VLOOKUP(Table1[[#This Row],[data__id]],'API - io'!$A:$H,3,0)),"-")</f>
        <v>-</v>
      </c>
      <c r="E31" t="str">
        <f>IFERROR((VLOOKUP(Table1[[#This Row],[data__id]],'API - io'!$A:$H,5,0)),"-")</f>
        <v>-</v>
      </c>
      <c r="F31" t="str">
        <f>IFERROR((VLOOKUP(Table1[[#This Row],[data__id]],'API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>
      <c r="B32" t="str">
        <f>IFERROR((VLOOKUP(Table1[[#This Row],[data__id]],'API - io'!$A:$H,3,0)),"-")</f>
        <v>-</v>
      </c>
      <c r="E32" t="str">
        <f>IFERROR((VLOOKUP(Table1[[#This Row],[data__id]],'API - io'!$A:$H,5,0)),"-")</f>
        <v>-</v>
      </c>
      <c r="F32" t="str">
        <f>IFERROR((VLOOKUP(Table1[[#This Row],[data__id]],'API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>
      <c r="B33" t="str">
        <f>IFERROR((VLOOKUP(Table1[[#This Row],[data__id]],'API - io'!$A:$H,3,0)),"-")</f>
        <v>-</v>
      </c>
      <c r="E33" t="str">
        <f>IFERROR((VLOOKUP(Table1[[#This Row],[data__id]],'API - io'!$A:$H,5,0)),"-")</f>
        <v>-</v>
      </c>
      <c r="F33" t="str">
        <f>IFERROR((VLOOKUP(Table1[[#This Row],[data__id]],'API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>
      <c r="B34" t="str">
        <f>IFERROR((VLOOKUP(Table1[[#This Row],[data__id]],'API - io'!$A:$H,3,0)),"-")</f>
        <v>-</v>
      </c>
      <c r="E34" t="str">
        <f>IFERROR((VLOOKUP(Table1[[#This Row],[data__id]],'API - io'!$A:$H,5,0)),"-")</f>
        <v>-</v>
      </c>
      <c r="F34" t="str">
        <f>IFERROR((VLOOKUP(Table1[[#This Row],[data__id]],'API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>
      <c r="B35" t="str">
        <f>IFERROR((VLOOKUP(Table1[[#This Row],[data__id]],'API - io'!$A:$H,3,0)),"-")</f>
        <v>-</v>
      </c>
      <c r="E35" t="str">
        <f>IFERROR((VLOOKUP(Table1[[#This Row],[data__id]],'API - io'!$A:$H,5,0)),"-")</f>
        <v>-</v>
      </c>
      <c r="F35" t="str">
        <f>IFERROR((VLOOKUP(Table1[[#This Row],[data__id]],'API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>
      <c r="B36" t="str">
        <f>IFERROR((VLOOKUP(Table1[[#This Row],[data__id]],'API - io'!$A:$H,3,0)),"-")</f>
        <v>-</v>
      </c>
      <c r="E36" t="str">
        <f>IFERROR((VLOOKUP(Table1[[#This Row],[data__id]],'API - io'!$A:$H,5,0)),"-")</f>
        <v>-</v>
      </c>
      <c r="F36" t="str">
        <f>IFERROR((VLOOKUP(Table1[[#This Row],[data__id]],'API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>
      <c r="B37" t="str">
        <f>IFERROR((VLOOKUP(Table1[[#This Row],[data__id]],'API - io'!$A:$H,3,0)),"-")</f>
        <v>-</v>
      </c>
      <c r="E37" t="str">
        <f>IFERROR((VLOOKUP(Table1[[#This Row],[data__id]],'API - io'!$A:$H,5,0)),"-")</f>
        <v>-</v>
      </c>
      <c r="F37" t="str">
        <f>IFERROR((VLOOKUP(Table1[[#This Row],[data__id]],'API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>
      <c r="B38" t="str">
        <f>IFERROR((VLOOKUP(Table1[[#This Row],[data__id]],'API - io'!$A:$H,3,0)),"-")</f>
        <v>-</v>
      </c>
      <c r="E38" t="str">
        <f>IFERROR((VLOOKUP(Table1[[#This Row],[data__id]],'API - io'!$A:$H,5,0)),"-")</f>
        <v>-</v>
      </c>
      <c r="F38" t="str">
        <f>IFERROR((VLOOKUP(Table1[[#This Row],[data__id]],'API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>
      <c r="B39" t="str">
        <f>IFERROR((VLOOKUP(Table1[[#This Row],[data__id]],'API - io'!$A:$H,3,0)),"-")</f>
        <v>-</v>
      </c>
      <c r="E39" t="str">
        <f>IFERROR((VLOOKUP(Table1[[#This Row],[data__id]],'API - io'!$A:$H,5,0)),"-")</f>
        <v>-</v>
      </c>
      <c r="F39" t="str">
        <f>IFERROR((VLOOKUP(Table1[[#This Row],[data__id]],'API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>
      <c r="B40" t="str">
        <f>IFERROR((VLOOKUP(Table1[[#This Row],[data__id]],'API - io'!$A:$H,3,0)),"-")</f>
        <v>-</v>
      </c>
      <c r="E40" t="str">
        <f>IFERROR((VLOOKUP(Table1[[#This Row],[data__id]],'API - io'!$A:$H,5,0)),"-")</f>
        <v>-</v>
      </c>
      <c r="F40" t="str">
        <f>IFERROR((VLOOKUP(Table1[[#This Row],[data__id]],'API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>
      <c r="B41" t="str">
        <f>IFERROR((VLOOKUP(Table1[[#This Row],[data__id]],'API - io'!$A:$H,3,0)),"-")</f>
        <v>-</v>
      </c>
      <c r="E41" t="str">
        <f>IFERROR((VLOOKUP(Table1[[#This Row],[data__id]],'API - io'!$A:$H,5,0)),"-")</f>
        <v>-</v>
      </c>
      <c r="F41" t="str">
        <f>IFERROR((VLOOKUP(Table1[[#This Row],[data__id]],'API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>
      <c r="B42" t="str">
        <f>IFERROR((VLOOKUP(Table1[[#This Row],[data__id]],'API - io'!$A:$H,3,0)),"-")</f>
        <v>-</v>
      </c>
      <c r="E42" t="str">
        <f>IFERROR((VLOOKUP(Table1[[#This Row],[data__id]],'API - io'!$A:$H,5,0)),"-")</f>
        <v>-</v>
      </c>
      <c r="F42" t="str">
        <f>IFERROR((VLOOKUP(Table1[[#This Row],[data__id]],'API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>
      <c r="B43" t="str">
        <f>IFERROR((VLOOKUP(Table1[[#This Row],[data__id]],'API - io'!$A:$H,3,0)),"-")</f>
        <v>-</v>
      </c>
      <c r="E43" t="str">
        <f>IFERROR((VLOOKUP(Table1[[#This Row],[data__id]],'API - io'!$A:$H,5,0)),"-")</f>
        <v>-</v>
      </c>
      <c r="F43" t="str">
        <f>IFERROR((VLOOKUP(Table1[[#This Row],[data__id]],'API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>
      <c r="B44" t="str">
        <f>IFERROR((VLOOKUP(Table1[[#This Row],[data__id]],'API - io'!$A:$H,3,0)),"-")</f>
        <v>-</v>
      </c>
      <c r="E44" t="str">
        <f>IFERROR((VLOOKUP(Table1[[#This Row],[data__id]],'API - io'!$A:$H,5,0)),"-")</f>
        <v>-</v>
      </c>
      <c r="F44" t="str">
        <f>IFERROR((VLOOKUP(Table1[[#This Row],[data__id]],'API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>
      <c r="B45" t="str">
        <f>IFERROR((VLOOKUP(Table1[[#This Row],[data__id]],'API - io'!$A:$H,3,0)),"-")</f>
        <v>-</v>
      </c>
      <c r="E45" t="str">
        <f>IFERROR((VLOOKUP(Table1[[#This Row],[data__id]],'API - io'!$A:$H,5,0)),"-")</f>
        <v>-</v>
      </c>
      <c r="F45" t="str">
        <f>IFERROR((VLOOKUP(Table1[[#This Row],[data__id]],'API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>
      <c r="B46" t="str">
        <f>IFERROR((VLOOKUP(Table1[[#This Row],[data__id]],'API - io'!$A:$H,3,0)),"-")</f>
        <v>-</v>
      </c>
      <c r="E46" t="str">
        <f>IFERROR((VLOOKUP(Table1[[#This Row],[data__id]],'API - io'!$A:$H,5,0)),"-")</f>
        <v>-</v>
      </c>
      <c r="F46" t="str">
        <f>IFERROR((VLOOKUP(Table1[[#This Row],[data__id]],'API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>
      <c r="B47" t="str">
        <f>IFERROR((VLOOKUP(Table1[[#This Row],[data__id]],'API - io'!$A:$H,3,0)),"-")</f>
        <v>-</v>
      </c>
      <c r="E47" t="str">
        <f>IFERROR((VLOOKUP(Table1[[#This Row],[data__id]],'API - io'!$A:$H,5,0)),"-")</f>
        <v>-</v>
      </c>
      <c r="F47" t="str">
        <f>IFERROR((VLOOKUP(Table1[[#This Row],[data__id]],'API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>
      <c r="B48" t="str">
        <f>IFERROR((VLOOKUP(Table1[[#This Row],[data__id]],'API - io'!$A:$H,3,0)),"-")</f>
        <v>-</v>
      </c>
      <c r="E48" t="str">
        <f>IFERROR((VLOOKUP(Table1[[#This Row],[data__id]],'API - io'!$A:$H,5,0)),"-")</f>
        <v>-</v>
      </c>
      <c r="F48" t="str">
        <f>IFERROR((VLOOKUP(Table1[[#This Row],[data__id]],'API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>
      <c r="B49" t="str">
        <f>IFERROR((VLOOKUP(Table1[[#This Row],[data__id]],'API - io'!$A:$H,3,0)),"-")</f>
        <v>-</v>
      </c>
      <c r="E49" t="str">
        <f>IFERROR((VLOOKUP(Table1[[#This Row],[data__id]],'API - io'!$A:$H,5,0)),"-")</f>
        <v>-</v>
      </c>
      <c r="F49" t="str">
        <f>IFERROR((VLOOKUP(Table1[[#This Row],[data__id]],'API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>
      <c r="B50" t="str">
        <f>IFERROR((VLOOKUP(Table1[[#This Row],[data__id]],'API - io'!$A:$H,3,0)),"-")</f>
        <v>-</v>
      </c>
      <c r="E50" t="str">
        <f>IFERROR((VLOOKUP(Table1[[#This Row],[data__id]],'API - io'!$A:$H,5,0)),"-")</f>
        <v>-</v>
      </c>
      <c r="F50" t="str">
        <f>IFERROR((VLOOKUP(Table1[[#This Row],[data__id]],'API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>
      <c r="B51" t="str">
        <f>IFERROR((VLOOKUP(Table1[[#This Row],[data__id]],'API - io'!$A:$H,3,0)),"-")</f>
        <v>-</v>
      </c>
      <c r="E51" t="str">
        <f>IFERROR((VLOOKUP(Table1[[#This Row],[data__id]],'API - io'!$A:$H,5,0)),"-")</f>
        <v>-</v>
      </c>
      <c r="F51" t="str">
        <f>IFERROR((VLOOKUP(Table1[[#This Row],[data__id]],'API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>
      <c r="B52" t="str">
        <f>IFERROR((VLOOKUP(Table1[[#This Row],[data__id]],'API - io'!$A:$H,3,0)),"-")</f>
        <v>-</v>
      </c>
      <c r="E52" t="str">
        <f>IFERROR((VLOOKUP(Table1[[#This Row],[data__id]],'API - io'!$A:$H,5,0)),"-")</f>
        <v>-</v>
      </c>
      <c r="F52" t="str">
        <f>IFERROR((VLOOKUP(Table1[[#This Row],[data__id]],'API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>
      <c r="B53" t="str">
        <f>IFERROR((VLOOKUP(Table1[[#This Row],[data__id]],'API - io'!$A:$H,3,0)),"-")</f>
        <v>-</v>
      </c>
      <c r="E53" t="str">
        <f>IFERROR((VLOOKUP(Table1[[#This Row],[data__id]],'API - io'!$A:$H,5,0)),"-")</f>
        <v>-</v>
      </c>
      <c r="F53" t="str">
        <f>IFERROR((VLOOKUP(Table1[[#This Row],[data__id]],'API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>
      <c r="B54" t="str">
        <f>IFERROR((VLOOKUP(Table1[[#This Row],[data__id]],'API - io'!$A:$H,3,0)),"-")</f>
        <v>-</v>
      </c>
      <c r="E54" t="str">
        <f>IFERROR((VLOOKUP(Table1[[#This Row],[data__id]],'API - io'!$A:$H,5,0)),"-")</f>
        <v>-</v>
      </c>
      <c r="F54" t="str">
        <f>IFERROR((VLOOKUP(Table1[[#This Row],[data__id]],'API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>
      <c r="B55" t="str">
        <f>IFERROR((VLOOKUP(Table1[[#This Row],[data__id]],'API - io'!$A:$H,3,0)),"-")</f>
        <v>-</v>
      </c>
      <c r="E55" t="str">
        <f>IFERROR((VLOOKUP(Table1[[#This Row],[data__id]],'API - io'!$A:$H,5,0)),"-")</f>
        <v>-</v>
      </c>
      <c r="F55" t="str">
        <f>IFERROR((VLOOKUP(Table1[[#This Row],[data__id]],'API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>
      <c r="B56" t="str">
        <f>IFERROR((VLOOKUP(Table1[[#This Row],[data__id]],'API - io'!$A:$H,3,0)),"-")</f>
        <v>-</v>
      </c>
      <c r="E56" t="str">
        <f>IFERROR((VLOOKUP(Table1[[#This Row],[data__id]],'API - io'!$A:$H,5,0)),"-")</f>
        <v>-</v>
      </c>
      <c r="F56" t="str">
        <f>IFERROR((VLOOKUP(Table1[[#This Row],[data__id]],'API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>
      <c r="B57" t="str">
        <f>IFERROR((VLOOKUP(Table1[[#This Row],[data__id]],'API - io'!$A:$H,3,0)),"-")</f>
        <v>-</v>
      </c>
      <c r="E57" t="str">
        <f>IFERROR((VLOOKUP(Table1[[#This Row],[data__id]],'API - io'!$A:$H,5,0)),"-")</f>
        <v>-</v>
      </c>
      <c r="F57" t="str">
        <f>IFERROR((VLOOKUP(Table1[[#This Row],[data__id]],'API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>
      <c r="B58" t="str">
        <f>IFERROR((VLOOKUP(Table1[[#This Row],[data__id]],'API - io'!$A:$H,3,0)),"-")</f>
        <v>-</v>
      </c>
      <c r="E58" t="str">
        <f>IFERROR((VLOOKUP(Table1[[#This Row],[data__id]],'API - io'!$A:$H,5,0)),"-")</f>
        <v>-</v>
      </c>
      <c r="F58" t="str">
        <f>IFERROR((VLOOKUP(Table1[[#This Row],[data__id]],'API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>
      <c r="B59" t="str">
        <f>IFERROR((VLOOKUP(Table1[[#This Row],[data__id]],'API - io'!$A:$H,3,0)),"-")</f>
        <v>-</v>
      </c>
      <c r="E59" t="str">
        <f>IFERROR((VLOOKUP(Table1[[#This Row],[data__id]],'API - io'!$A:$H,5,0)),"-")</f>
        <v>-</v>
      </c>
      <c r="F59" t="str">
        <f>IFERROR((VLOOKUP(Table1[[#This Row],[data__id]],'API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>
      <c r="B60" t="str">
        <f>IFERROR((VLOOKUP(Table1[[#This Row],[data__id]],'API - io'!$A:$H,3,0)),"-")</f>
        <v>-</v>
      </c>
      <c r="E60" t="str">
        <f>IFERROR((VLOOKUP(Table1[[#This Row],[data__id]],'API - io'!$A:$H,5,0)),"-")</f>
        <v>-</v>
      </c>
      <c r="F60" t="str">
        <f>IFERROR((VLOOKUP(Table1[[#This Row],[data__id]],'API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>
      <c r="B61" t="str">
        <f>IFERROR((VLOOKUP(Table1[[#This Row],[data__id]],'API - io'!$A:$H,3,0)),"-")</f>
        <v>-</v>
      </c>
      <c r="E61" t="str">
        <f>IFERROR((VLOOKUP(Table1[[#This Row],[data__id]],'API - io'!$A:$H,5,0)),"-")</f>
        <v>-</v>
      </c>
      <c r="F61" t="str">
        <f>IFERROR((VLOOKUP(Table1[[#This Row],[data__id]],'API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>
      <c r="B62" t="str">
        <f>IFERROR((VLOOKUP(Table1[[#This Row],[data__id]],'API - io'!$A:$H,3,0)),"-")</f>
        <v>-</v>
      </c>
      <c r="E62" t="str">
        <f>IFERROR((VLOOKUP(Table1[[#This Row],[data__id]],'API - io'!$A:$H,5,0)),"-")</f>
        <v>-</v>
      </c>
      <c r="F62" t="str">
        <f>IFERROR((VLOOKUP(Table1[[#This Row],[data__id]],'API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>
      <c r="B63" t="str">
        <f>IFERROR((VLOOKUP(Table1[[#This Row],[data__id]],'API - io'!$A:$H,3,0)),"-")</f>
        <v>-</v>
      </c>
      <c r="E63" t="str">
        <f>IFERROR((VLOOKUP(Table1[[#This Row],[data__id]],'API - io'!$A:$H,5,0)),"-")</f>
        <v>-</v>
      </c>
      <c r="F63" t="str">
        <f>IFERROR((VLOOKUP(Table1[[#This Row],[data__id]],'API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>
      <c r="B64" t="str">
        <f>IFERROR((VLOOKUP(Table1[[#This Row],[data__id]],'API - io'!$A:$H,3,0)),"-")</f>
        <v>-</v>
      </c>
      <c r="E64" t="str">
        <f>IFERROR((VLOOKUP(Table1[[#This Row],[data__id]],'API - io'!$A:$H,5,0)),"-")</f>
        <v>-</v>
      </c>
      <c r="F64" t="str">
        <f>IFERROR((VLOOKUP(Table1[[#This Row],[data__id]],'API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>
      <c r="B65" t="str">
        <f>IFERROR((VLOOKUP(Table1[[#This Row],[data__id]],'API - io'!$A:$H,3,0)),"-")</f>
        <v>-</v>
      </c>
      <c r="E65" t="str">
        <f>IFERROR((VLOOKUP(Table1[[#This Row],[data__id]],'API - io'!$A:$H,5,0)),"-")</f>
        <v>-</v>
      </c>
      <c r="F65" t="str">
        <f>IFERROR((VLOOKUP(Table1[[#This Row],[data__id]],'API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>
      <c r="B66" t="str">
        <f>IFERROR((VLOOKUP(Table1[[#This Row],[data__id]],'API - io'!$A:$H,3,0)),"-")</f>
        <v>-</v>
      </c>
      <c r="E66" t="str">
        <f>IFERROR((VLOOKUP(Table1[[#This Row],[data__id]],'API - io'!$A:$H,5,0)),"-")</f>
        <v>-</v>
      </c>
      <c r="F66" t="str">
        <f>IFERROR((VLOOKUP(Table1[[#This Row],[data__id]],'API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>
      <c r="B67" t="str">
        <f>IFERROR((VLOOKUP(Table1[[#This Row],[data__id]],'API - io'!$A:$H,3,0)),"-")</f>
        <v>-</v>
      </c>
      <c r="E67" t="str">
        <f>IFERROR((VLOOKUP(Table1[[#This Row],[data__id]],'API - io'!$A:$H,5,0)),"-")</f>
        <v>-</v>
      </c>
      <c r="F67" t="str">
        <f>IFERROR((VLOOKUP(Table1[[#This Row],[data__id]],'API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>
      <c r="B68" t="str">
        <f>IFERROR((VLOOKUP(Table1[[#This Row],[data__id]],'API - io'!$A:$H,3,0)),"-")</f>
        <v>-</v>
      </c>
      <c r="E68" t="str">
        <f>IFERROR((VLOOKUP(Table1[[#This Row],[data__id]],'API - io'!$A:$H,5,0)),"-")</f>
        <v>-</v>
      </c>
      <c r="F68" t="str">
        <f>IFERROR((VLOOKUP(Table1[[#This Row],[data__id]],'API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>
      <c r="B69" t="str">
        <f>IFERROR((VLOOKUP(Table1[[#This Row],[data__id]],'API - io'!$A:$H,3,0)),"-")</f>
        <v>-</v>
      </c>
      <c r="E69" t="str">
        <f>IFERROR((VLOOKUP(Table1[[#This Row],[data__id]],'API - io'!$A:$H,5,0)),"-")</f>
        <v>-</v>
      </c>
      <c r="F69" t="str">
        <f>IFERROR((VLOOKUP(Table1[[#This Row],[data__id]],'API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>
      <c r="B70" t="str">
        <f>IFERROR((VLOOKUP(Table1[[#This Row],[data__id]],'API - io'!$A:$H,3,0)),"-")</f>
        <v>-</v>
      </c>
      <c r="E70" t="str">
        <f>IFERROR((VLOOKUP(Table1[[#This Row],[data__id]],'API - io'!$A:$H,5,0)),"-")</f>
        <v>-</v>
      </c>
      <c r="F70" t="str">
        <f>IFERROR((VLOOKUP(Table1[[#This Row],[data__id]],'API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>
      <c r="B71" t="str">
        <f>IFERROR((VLOOKUP(Table1[[#This Row],[data__id]],'API - io'!$A:$H,3,0)),"-")</f>
        <v>-</v>
      </c>
      <c r="E71" t="str">
        <f>IFERROR((VLOOKUP(Table1[[#This Row],[data__id]],'API - io'!$A:$H,5,0)),"-")</f>
        <v>-</v>
      </c>
      <c r="F71" t="str">
        <f>IFERROR((VLOOKUP(Table1[[#This Row],[data__id]],'API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>
      <c r="B72" t="str">
        <f>IFERROR((VLOOKUP(Table1[[#This Row],[data__id]],'API - io'!$A:$H,3,0)),"-")</f>
        <v>-</v>
      </c>
      <c r="E72" t="str">
        <f>IFERROR((VLOOKUP(Table1[[#This Row],[data__id]],'API - io'!$A:$H,5,0)),"-")</f>
        <v>-</v>
      </c>
      <c r="F72" t="str">
        <f>IFERROR((VLOOKUP(Table1[[#This Row],[data__id]],'API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>
      <c r="B73" t="str">
        <f>IFERROR((VLOOKUP(Table1[[#This Row],[data__id]],'API - io'!$A:$H,3,0)),"-")</f>
        <v>-</v>
      </c>
      <c r="E73" t="str">
        <f>IFERROR((VLOOKUP(Table1[[#This Row],[data__id]],'API - io'!$A:$H,5,0)),"-")</f>
        <v>-</v>
      </c>
      <c r="F73" t="str">
        <f>IFERROR((VLOOKUP(Table1[[#This Row],[data__id]],'API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>
      <c r="B74" t="str">
        <f>IFERROR((VLOOKUP(Table1[[#This Row],[data__id]],'API - io'!$A:$H,3,0)),"-")</f>
        <v>-</v>
      </c>
      <c r="E74" t="str">
        <f>IFERROR((VLOOKUP(Table1[[#This Row],[data__id]],'API - io'!$A:$H,5,0)),"-")</f>
        <v>-</v>
      </c>
      <c r="F74" t="str">
        <f>IFERROR((VLOOKUP(Table1[[#This Row],[data__id]],'API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>
      <c r="B75" t="str">
        <f>IFERROR((VLOOKUP(Table1[[#This Row],[data__id]],'API - io'!$A:$H,3,0)),"-")</f>
        <v>-</v>
      </c>
      <c r="E75" t="str">
        <f>IFERROR((VLOOKUP(Table1[[#This Row],[data__id]],'API - io'!$A:$H,5,0)),"-")</f>
        <v>-</v>
      </c>
      <c r="F75" t="str">
        <f>IFERROR((VLOOKUP(Table1[[#This Row],[data__id]],'API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>
      <c r="B76" t="str">
        <f>IFERROR((VLOOKUP(Table1[[#This Row],[data__id]],'API - io'!$A:$H,3,0)),"-")</f>
        <v>-</v>
      </c>
      <c r="E76" t="str">
        <f>IFERROR((VLOOKUP(Table1[[#This Row],[data__id]],'API - io'!$A:$H,5,0)),"-")</f>
        <v>-</v>
      </c>
      <c r="F76" t="str">
        <f>IFERROR((VLOOKUP(Table1[[#This Row],[data__id]],'API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>
      <c r="B77" t="str">
        <f>IFERROR((VLOOKUP(Table1[[#This Row],[data__id]],'API - io'!$A:$H,3,0)),"-")</f>
        <v>-</v>
      </c>
      <c r="E77" t="str">
        <f>IFERROR((VLOOKUP(Table1[[#This Row],[data__id]],'API - io'!$A:$H,5,0)),"-")</f>
        <v>-</v>
      </c>
      <c r="F77" t="str">
        <f>IFERROR((VLOOKUP(Table1[[#This Row],[data__id]],'API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>
      <c r="B78" t="str">
        <f>IFERROR((VLOOKUP(Table1[[#This Row],[data__id]],'API - io'!$A:$H,3,0)),"-")</f>
        <v>-</v>
      </c>
      <c r="E78" t="str">
        <f>IFERROR((VLOOKUP(Table1[[#This Row],[data__id]],'API - io'!$A:$H,5,0)),"-")</f>
        <v>-</v>
      </c>
      <c r="F78" t="str">
        <f>IFERROR((VLOOKUP(Table1[[#This Row],[data__id]],'API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>
      <c r="B79" t="str">
        <f>IFERROR((VLOOKUP(Table1[[#This Row],[data__id]],'API - io'!$A:$H,3,0)),"-")</f>
        <v>-</v>
      </c>
      <c r="E79" t="str">
        <f>IFERROR((VLOOKUP(Table1[[#This Row],[data__id]],'API - io'!$A:$H,5,0)),"-")</f>
        <v>-</v>
      </c>
      <c r="F79" t="str">
        <f>IFERROR((VLOOKUP(Table1[[#This Row],[data__id]],'API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>
      <c r="B80" t="str">
        <f>IFERROR((VLOOKUP(Table1[[#This Row],[data__id]],'API - io'!$A:$H,3,0)),"-")</f>
        <v>-</v>
      </c>
      <c r="E80" t="str">
        <f>IFERROR((VLOOKUP(Table1[[#This Row],[data__id]],'API - io'!$A:$H,5,0)),"-")</f>
        <v>-</v>
      </c>
      <c r="F80" t="str">
        <f>IFERROR((VLOOKUP(Table1[[#This Row],[data__id]],'API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>
      <c r="B81" t="str">
        <f>IFERROR((VLOOKUP(Table1[[#This Row],[data__id]],'API - io'!$A:$H,3,0)),"-")</f>
        <v>-</v>
      </c>
      <c r="E81" t="str">
        <f>IFERROR((VLOOKUP(Table1[[#This Row],[data__id]],'API - io'!$A:$H,5,0)),"-")</f>
        <v>-</v>
      </c>
      <c r="F81" t="str">
        <f>IFERROR((VLOOKUP(Table1[[#This Row],[data__id]],'API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>
      <c r="B82" t="str">
        <f>IFERROR((VLOOKUP(Table1[[#This Row],[data__id]],'API - io'!$A:$H,3,0)),"-")</f>
        <v>-</v>
      </c>
      <c r="E82" t="str">
        <f>IFERROR((VLOOKUP(Table1[[#This Row],[data__id]],'API - io'!$A:$H,5,0)),"-")</f>
        <v>-</v>
      </c>
      <c r="F82" t="str">
        <f>IFERROR((VLOOKUP(Table1[[#This Row],[data__id]],'API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>
      <c r="B83" t="str">
        <f>IFERROR((VLOOKUP(Table1[[#This Row],[data__id]],'API - io'!$A:$H,3,0)),"-")</f>
        <v>-</v>
      </c>
      <c r="E83" t="str">
        <f>IFERROR((VLOOKUP(Table1[[#This Row],[data__id]],'API - io'!$A:$H,5,0)),"-")</f>
        <v>-</v>
      </c>
      <c r="F83" t="str">
        <f>IFERROR((VLOOKUP(Table1[[#This Row],[data__id]],'API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>
      <c r="B84" t="str">
        <f>IFERROR((VLOOKUP(Table1[[#This Row],[data__id]],'API - io'!$A:$H,3,0)),"-")</f>
        <v>-</v>
      </c>
      <c r="E84" t="str">
        <f>IFERROR((VLOOKUP(Table1[[#This Row],[data__id]],'API - io'!$A:$H,5,0)),"-")</f>
        <v>-</v>
      </c>
      <c r="F84" t="str">
        <f>IFERROR((VLOOKUP(Table1[[#This Row],[data__id]],'API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>
      <c r="B85" t="str">
        <f>IFERROR((VLOOKUP(Table1[[#This Row],[data__id]],'API - io'!$A:$H,3,0)),"-")</f>
        <v>-</v>
      </c>
      <c r="E85" t="str">
        <f>IFERROR((VLOOKUP(Table1[[#This Row],[data__id]],'API - io'!$A:$H,5,0)),"-")</f>
        <v>-</v>
      </c>
      <c r="F85" t="str">
        <f>IFERROR((VLOOKUP(Table1[[#This Row],[data__id]],'API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>
      <c r="B86" t="str">
        <f>IFERROR((VLOOKUP(Table1[[#This Row],[data__id]],'API - io'!$A:$H,3,0)),"-")</f>
        <v>-</v>
      </c>
      <c r="E86" t="str">
        <f>IFERROR((VLOOKUP(Table1[[#This Row],[data__id]],'API - io'!$A:$H,5,0)),"-")</f>
        <v>-</v>
      </c>
      <c r="F86" t="str">
        <f>IFERROR((VLOOKUP(Table1[[#This Row],[data__id]],'API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>
      <c r="B87" t="str">
        <f>IFERROR((VLOOKUP(Table1[[#This Row],[data__id]],'API - io'!$A:$H,3,0)),"-")</f>
        <v>-</v>
      </c>
      <c r="E87" t="str">
        <f>IFERROR((VLOOKUP(Table1[[#This Row],[data__id]],'API - io'!$A:$H,5,0)),"-")</f>
        <v>-</v>
      </c>
      <c r="F87" t="str">
        <f>IFERROR((VLOOKUP(Table1[[#This Row],[data__id]],'API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>
      <c r="B88" t="str">
        <f>IFERROR((VLOOKUP(Table1[[#This Row],[data__id]],'API - io'!$A:$H,3,0)),"-")</f>
        <v>-</v>
      </c>
      <c r="E88" t="str">
        <f>IFERROR((VLOOKUP(Table1[[#This Row],[data__id]],'API - io'!$A:$H,5,0)),"-")</f>
        <v>-</v>
      </c>
      <c r="F88" t="str">
        <f>IFERROR((VLOOKUP(Table1[[#This Row],[data__id]],'API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>
      <c r="B89" t="str">
        <f>IFERROR((VLOOKUP(Table1[[#This Row],[data__id]],'API - io'!$A:$H,3,0)),"-")</f>
        <v>-</v>
      </c>
      <c r="E89" t="str">
        <f>IFERROR((VLOOKUP(Table1[[#This Row],[data__id]],'API - io'!$A:$H,5,0)),"-")</f>
        <v>-</v>
      </c>
      <c r="F89" t="str">
        <f>IFERROR((VLOOKUP(Table1[[#This Row],[data__id]],'API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>
      <c r="B90" t="str">
        <f>IFERROR((VLOOKUP(Table1[[#This Row],[data__id]],'API - io'!$A:$H,3,0)),"-")</f>
        <v>-</v>
      </c>
      <c r="E90" t="str">
        <f>IFERROR((VLOOKUP(Table1[[#This Row],[data__id]],'API - io'!$A:$H,5,0)),"-")</f>
        <v>-</v>
      </c>
      <c r="F90" t="str">
        <f>IFERROR((VLOOKUP(Table1[[#This Row],[data__id]],'API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>
      <c r="B91" t="str">
        <f>IFERROR((VLOOKUP(Table1[[#This Row],[data__id]],'API - io'!$A:$H,3,0)),"-")</f>
        <v>-</v>
      </c>
      <c r="E91" t="str">
        <f>IFERROR((VLOOKUP(Table1[[#This Row],[data__id]],'API - io'!$A:$H,5,0)),"-")</f>
        <v>-</v>
      </c>
      <c r="F91" t="str">
        <f>IFERROR((VLOOKUP(Table1[[#This Row],[data__id]],'API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>
      <c r="B92" t="str">
        <f>IFERROR((VLOOKUP(Table1[[#This Row],[data__id]],'API - io'!$A:$H,3,0)),"-")</f>
        <v>-</v>
      </c>
      <c r="E92" t="str">
        <f>IFERROR((VLOOKUP(Table1[[#This Row],[data__id]],'API - io'!$A:$H,5,0)),"-")</f>
        <v>-</v>
      </c>
      <c r="F92" t="str">
        <f>IFERROR((VLOOKUP(Table1[[#This Row],[data__id]],'API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>
      <c r="B93" t="str">
        <f>IFERROR((VLOOKUP(Table1[[#This Row],[data__id]],'API - io'!$A:$H,3,0)),"-")</f>
        <v>-</v>
      </c>
      <c r="E93" t="str">
        <f>IFERROR((VLOOKUP(Table1[[#This Row],[data__id]],'API - io'!$A:$H,5,0)),"-")</f>
        <v>-</v>
      </c>
      <c r="F93" t="str">
        <f>IFERROR((VLOOKUP(Table1[[#This Row],[data__id]],'API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>
      <c r="B94" t="str">
        <f>IFERROR((VLOOKUP(Table1[[#This Row],[data__id]],'API - io'!$A:$H,3,0)),"-")</f>
        <v>-</v>
      </c>
      <c r="E94" t="str">
        <f>IFERROR((VLOOKUP(Table1[[#This Row],[data__id]],'API - io'!$A:$H,5,0)),"-")</f>
        <v>-</v>
      </c>
      <c r="F94" t="str">
        <f>IFERROR((VLOOKUP(Table1[[#This Row],[data__id]],'API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>
      <c r="B95" t="str">
        <f>IFERROR((VLOOKUP(Table1[[#This Row],[data__id]],'API - io'!$A:$H,3,0)),"-")</f>
        <v>-</v>
      </c>
      <c r="E95" t="str">
        <f>IFERROR((VLOOKUP(Table1[[#This Row],[data__id]],'API - io'!$A:$H,5,0)),"-")</f>
        <v>-</v>
      </c>
      <c r="F95" t="str">
        <f>IFERROR((VLOOKUP(Table1[[#This Row],[data__id]],'API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>
      <c r="B96" t="str">
        <f>IFERROR((VLOOKUP(Table1[[#This Row],[data__id]],'API - io'!$A:$H,3,0)),"-")</f>
        <v>-</v>
      </c>
      <c r="E96" t="str">
        <f>IFERROR((VLOOKUP(Table1[[#This Row],[data__id]],'API - io'!$A:$H,5,0)),"-")</f>
        <v>-</v>
      </c>
      <c r="F96" t="str">
        <f>IFERROR((VLOOKUP(Table1[[#This Row],[data__id]],'API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>
      <c r="B97" t="str">
        <f>IFERROR((VLOOKUP(Table1[[#This Row],[data__id]],'API - io'!$A:$H,3,0)),"-")</f>
        <v>-</v>
      </c>
      <c r="E97" t="str">
        <f>IFERROR((VLOOKUP(Table1[[#This Row],[data__id]],'API - io'!$A:$H,5,0)),"-")</f>
        <v>-</v>
      </c>
      <c r="F97" t="str">
        <f>IFERROR((VLOOKUP(Table1[[#This Row],[data__id]],'API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>
      <c r="B98" t="str">
        <f>IFERROR((VLOOKUP(Table1[[#This Row],[data__id]],'API - io'!$A:$H,3,0)),"-")</f>
        <v>-</v>
      </c>
      <c r="E98" t="str">
        <f>IFERROR((VLOOKUP(Table1[[#This Row],[data__id]],'API - io'!$A:$H,5,0)),"-")</f>
        <v>-</v>
      </c>
      <c r="F98" t="str">
        <f>IFERROR((VLOOKUP(Table1[[#This Row],[data__id]],'API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>
      <c r="B99" t="str">
        <f>IFERROR((VLOOKUP(Table1[[#This Row],[data__id]],'API - io'!$A:$H,3,0)),"-")</f>
        <v>-</v>
      </c>
      <c r="E99" t="str">
        <f>IFERROR((VLOOKUP(Table1[[#This Row],[data__id]],'API - io'!$A:$H,5,0)),"-")</f>
        <v>-</v>
      </c>
      <c r="F99" t="str">
        <f>IFERROR((VLOOKUP(Table1[[#This Row],[data__id]],'API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>
      <c r="B100" t="str">
        <f>IFERROR((VLOOKUP(Table1[[#This Row],[data__id]],'API - io'!$A:$H,3,0)),"-")</f>
        <v>-</v>
      </c>
      <c r="E100" t="str">
        <f>IFERROR((VLOOKUP(Table1[[#This Row],[data__id]],'API - io'!$A:$H,5,0)),"-")</f>
        <v>-</v>
      </c>
      <c r="F100" t="str">
        <f>IFERROR((VLOOKUP(Table1[[#This Row],[data__id]],'API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>
      <c r="B101" t="str">
        <f>IFERROR((VLOOKUP(Table1[[#This Row],[data__id]],'API - io'!$A:$H,3,0)),"-")</f>
        <v>-</v>
      </c>
      <c r="E101" t="str">
        <f>IFERROR((VLOOKUP(Table1[[#This Row],[data__id]],'API - io'!$A:$H,5,0)),"-")</f>
        <v>-</v>
      </c>
      <c r="F101" t="str">
        <f>IFERROR((VLOOKUP(Table1[[#This Row],[data__id]],'API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</hyperlinks>
  <pageMargins left="0.7" right="0.7" top="0.75" bottom="0.75" header="0.3" footer="0.3"/>
  <ignoredErrors>
    <ignoredError numberStoredAsText="1" sqref="A1:J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 rightToLeft="0"/>
  </sheetViews>
  <sheetData>
    <row r="1">
      <c r="A1" t="str">
        <v>data__id</v>
      </c>
      <c r="B1" t="str">
        <v>data__name</v>
      </c>
      <c r="C1" t="str">
        <v>data__code</v>
      </c>
      <c r="D1" t="str">
        <v>data__bin</v>
      </c>
      <c r="E1" t="str">
        <v>data__shortName</v>
      </c>
      <c r="F1" t="str">
        <v>data__logo</v>
      </c>
      <c r="G1" t="str">
        <v>data__short_name</v>
      </c>
      <c r="H1" t="str">
        <v>Templa</v>
      </c>
    </row>
    <row r="2">
      <c r="A2">
        <v>1</v>
      </c>
      <c r="B2" t="str">
        <v>Ngân hàng TMCP An Bình</v>
      </c>
      <c r="C2" t="str">
        <v>ABB</v>
      </c>
      <c r="D2">
        <v>970425</v>
      </c>
      <c r="E2" t="str">
        <v>ABBANK</v>
      </c>
      <c r="F2" t="str">
        <v>https://cdn.vietqr.io/img/ABB.png</v>
      </c>
      <c r="G2" t="str">
        <v>ABBANK</v>
      </c>
      <c r="H2" t="str">
        <v>compact2</v>
      </c>
    </row>
    <row r="3">
      <c r="A3">
        <v>2</v>
      </c>
      <c r="B3" t="str">
        <v>Ngân hàng TMCP Á Châu</v>
      </c>
      <c r="C3" t="str">
        <v>ACB</v>
      </c>
      <c r="D3">
        <v>970416</v>
      </c>
      <c r="E3" t="str">
        <v>ACB</v>
      </c>
      <c r="F3" t="str">
        <v>https://cdn.vietqr.io/img/ACB.png</v>
      </c>
      <c r="G3" t="str">
        <v>ACB</v>
      </c>
      <c r="H3" t="str">
        <v>compact</v>
      </c>
    </row>
    <row r="4">
      <c r="A4">
        <v>3</v>
      </c>
      <c r="B4" t="str">
        <v>Ngân hàng TMCP Bắc Á</v>
      </c>
      <c r="C4" t="str">
        <v>BAB</v>
      </c>
      <c r="D4">
        <v>970409</v>
      </c>
      <c r="E4" t="str">
        <v>BacABank</v>
      </c>
      <c r="F4" t="str">
        <v>https://cdn.vietqr.io/img/BAB.png</v>
      </c>
      <c r="G4" t="str">
        <v>BacABank</v>
      </c>
      <c r="H4" t="str">
        <v>print</v>
      </c>
    </row>
    <row r="5">
      <c r="A5">
        <v>4</v>
      </c>
      <c r="B5" t="str">
        <v>Ngân hàng TMCP Đầu tư và Phát triển Việt Nam</v>
      </c>
      <c r="C5" t="str">
        <v>BIDV</v>
      </c>
      <c r="D5">
        <v>970418</v>
      </c>
      <c r="E5" t="str">
        <v>BIDV</v>
      </c>
      <c r="F5" t="str">
        <v>https://cdn.vietqr.io/img/BIDV.png</v>
      </c>
      <c r="G5" t="str">
        <v>BIDV</v>
      </c>
      <c r="H5" t="str">
        <v>BdT8CDO</v>
      </c>
    </row>
    <row r="6">
      <c r="A6">
        <v>5</v>
      </c>
      <c r="B6" t="str">
        <v>Ngân hàng TMCP Bảo Việt</v>
      </c>
      <c r="C6" t="str">
        <v>BVB</v>
      </c>
      <c r="D6">
        <v>970438</v>
      </c>
      <c r="E6" t="str">
        <v>BaoVietBank</v>
      </c>
      <c r="F6" t="str">
        <v>https://cdn.vietqr.io/img/BVB.png</v>
      </c>
      <c r="G6" t="str">
        <v>BaoVietBank</v>
      </c>
      <c r="H6" t="str">
        <v>qr_only</v>
      </c>
    </row>
    <row r="7">
      <c r="A7">
        <v>6</v>
      </c>
      <c r="B7" t="str">
        <v>Ngân hàng Thương mại TNHH MTV Xây dựng Việt Nam</v>
      </c>
      <c r="C7" t="str">
        <v>CBB</v>
      </c>
      <c r="D7">
        <v>970444</v>
      </c>
      <c r="E7" t="str">
        <v>CBBank</v>
      </c>
      <c r="F7" t="str">
        <v>https://cdn.vietqr.io/img/CBB.png</v>
      </c>
      <c r="G7" t="str">
        <v>CBBank</v>
      </c>
    </row>
    <row r="8">
      <c r="A8">
        <v>7</v>
      </c>
      <c r="B8" t="str">
        <v>Ngân hàng TNHH MTV CIMB Việt Nam</v>
      </c>
      <c r="C8" t="str">
        <v>CIMB</v>
      </c>
      <c r="D8">
        <v>422589</v>
      </c>
      <c r="E8" t="str">
        <v>CIMB</v>
      </c>
      <c r="F8" t="str">
        <v>https://cdn.vietqr.io/img/CIMB.png</v>
      </c>
      <c r="G8" t="str">
        <v>CIMB</v>
      </c>
    </row>
    <row r="9">
      <c r="A9">
        <v>8</v>
      </c>
      <c r="B9" t="str">
        <v>DBS Bank Ltd - Chi nhánh Thành phố Hồ Chí Minh</v>
      </c>
      <c r="C9" t="str">
        <v>DBS</v>
      </c>
      <c r="D9">
        <v>796500</v>
      </c>
      <c r="E9" t="str">
        <v>DBSBank</v>
      </c>
      <c r="F9" t="str">
        <v>https://cdn.vietqr.io/img/DBS.png</v>
      </c>
      <c r="G9" t="str">
        <v>DBSBank</v>
      </c>
    </row>
    <row r="10">
      <c r="A10">
        <v>9</v>
      </c>
      <c r="B10" t="str">
        <v>Ngân hàng TNHH MTV Số Vikki</v>
      </c>
      <c r="C10" t="str">
        <v>Vikki</v>
      </c>
      <c r="D10">
        <v>970406</v>
      </c>
      <c r="E10" t="str">
        <v>Vikki</v>
      </c>
      <c r="F10" t="str">
        <v>https://cdn.vietqr.io/img/Vikki.png</v>
      </c>
      <c r="G10" t="str">
        <v>Vikki</v>
      </c>
    </row>
    <row r="11">
      <c r="A11">
        <v>10</v>
      </c>
      <c r="B11" t="str">
        <v>Ngân hàng TMCP Xuất Nhập khẩu Việt Nam</v>
      </c>
      <c r="C11" t="str">
        <v>EIB</v>
      </c>
      <c r="D11">
        <v>970431</v>
      </c>
      <c r="E11" t="str">
        <v>Eximbank</v>
      </c>
      <c r="F11" t="str">
        <v>https://cdn.vietqr.io/img/EIB.png</v>
      </c>
      <c r="G11" t="str">
        <v>Eximbank</v>
      </c>
    </row>
    <row r="12">
      <c r="A12">
        <v>11</v>
      </c>
      <c r="B12" t="str">
        <v>Ngân hàng Thương mại TNHH MTV Dầu Khí Toàn Cầu</v>
      </c>
      <c r="C12" t="str">
        <v>GPB</v>
      </c>
      <c r="D12">
        <v>970408</v>
      </c>
      <c r="E12" t="str">
        <v>GPBank</v>
      </c>
      <c r="F12" t="str">
        <v>https://cdn.vietqr.io/img/GPB.png</v>
      </c>
      <c r="G12" t="str">
        <v>GPBank</v>
      </c>
    </row>
    <row r="13">
      <c r="A13">
        <v>12</v>
      </c>
      <c r="B13" t="str">
        <v>Ngân hàng TMCP Phát triển Thành phố Hồ Chí Minh</v>
      </c>
      <c r="C13" t="str">
        <v>HDB</v>
      </c>
      <c r="D13">
        <v>970437</v>
      </c>
      <c r="E13" t="str">
        <v>HDBank</v>
      </c>
      <c r="F13" t="str">
        <v>https://cdn.vietqr.io/img/HDB.png</v>
      </c>
      <c r="G13" t="str">
        <v>HDBank</v>
      </c>
    </row>
    <row r="14">
      <c r="A14">
        <v>13</v>
      </c>
      <c r="B14" t="str">
        <v>Ngân hàng TNHH MTV Hong Leong Việt Nam</v>
      </c>
      <c r="C14" t="str">
        <v>HLBVN</v>
      </c>
      <c r="D14">
        <v>970442</v>
      </c>
      <c r="E14" t="str">
        <v>HongLeong</v>
      </c>
      <c r="F14" t="str">
        <v>https://cdn.vietqr.io/img/HLBVN.png</v>
      </c>
      <c r="G14" t="str">
        <v>HongLeong</v>
      </c>
    </row>
    <row r="15">
      <c r="A15">
        <v>14</v>
      </c>
      <c r="B15" t="str">
        <v>Ngân hàng TNHH MTV HSBC (Việt Nam)</v>
      </c>
      <c r="C15" t="str">
        <v>HSBC</v>
      </c>
      <c r="D15">
        <v>458761</v>
      </c>
      <c r="E15" t="str">
        <v>HSBC</v>
      </c>
      <c r="F15" t="str">
        <v>https://cdn.vietqr.io/img/HSBC.png</v>
      </c>
      <c r="G15" t="str">
        <v>HSBC</v>
      </c>
    </row>
    <row r="16">
      <c r="A16">
        <v>15</v>
      </c>
      <c r="B16" t="str">
        <v>Ngân hàng Công nghiệp Hàn Quốc - Chi nhánh Hà Nội</v>
      </c>
      <c r="C16" t="str">
        <v>IBK - HN</v>
      </c>
      <c r="D16">
        <v>970455</v>
      </c>
      <c r="E16" t="str">
        <v>IBKHN</v>
      </c>
      <c r="F16" t="str">
        <v>https://cdn.vietqr.io/img/IBK.png</v>
      </c>
      <c r="G16" t="str">
        <v>IBKHN</v>
      </c>
    </row>
    <row r="17">
      <c r="A17">
        <v>16</v>
      </c>
      <c r="B17" t="str">
        <v>Ngân hàng Công nghiệp Hàn Quốc - Chi nhánh TP. Hồ Chí Minh</v>
      </c>
      <c r="C17" t="str">
        <v>IBK - HCM</v>
      </c>
      <c r="D17">
        <v>970456</v>
      </c>
      <c r="E17" t="str">
        <v>IBKHCM</v>
      </c>
      <c r="F17" t="str">
        <v>https://cdn.vietqr.io/img/IBK.png</v>
      </c>
      <c r="G17" t="str">
        <v>IBKHCM</v>
      </c>
    </row>
    <row r="18">
      <c r="A18">
        <v>17</v>
      </c>
      <c r="B18" t="str">
        <v>Ngân hàng TMCP Công thương Việt Nam</v>
      </c>
      <c r="C18" t="str">
        <v>ICB</v>
      </c>
      <c r="D18">
        <v>970415</v>
      </c>
      <c r="E18" t="str">
        <v>VietinBank</v>
      </c>
      <c r="F18" t="str">
        <v>https://cdn.vietqr.io/img/ICB.png</v>
      </c>
      <c r="G18" t="str">
        <v>VietinBank</v>
      </c>
    </row>
    <row r="19">
      <c r="A19">
        <v>18</v>
      </c>
      <c r="B19" t="str">
        <v>Ngân hàng TNHH Indovina</v>
      </c>
      <c r="C19" t="str">
        <v>IVB</v>
      </c>
      <c r="D19">
        <v>970434</v>
      </c>
      <c r="E19" t="str">
        <v>IndovinaBank</v>
      </c>
      <c r="F19" t="str">
        <v>https://cdn.vietqr.io/img/IVB.png</v>
      </c>
      <c r="G19" t="str">
        <v>IndovinaBank</v>
      </c>
    </row>
    <row r="20">
      <c r="A20">
        <v>19</v>
      </c>
      <c r="B20" t="str">
        <v>Ngân hàng TMCP Kiên Long</v>
      </c>
      <c r="C20" t="str">
        <v>KLB</v>
      </c>
      <c r="D20">
        <v>970452</v>
      </c>
      <c r="E20" t="str">
        <v>KienLongBank</v>
      </c>
      <c r="F20" t="str">
        <v>https://cdn.vietqr.io/img/KLB.png</v>
      </c>
      <c r="G20" t="str">
        <v>KienLongBank</v>
      </c>
    </row>
    <row r="21">
      <c r="A21">
        <v>20</v>
      </c>
      <c r="B21" t="str">
        <v>Ngân hàng TMCP Lộc Phát Việt Nam</v>
      </c>
      <c r="C21" t="str">
        <v>LPB</v>
      </c>
      <c r="D21">
        <v>970449</v>
      </c>
      <c r="E21" t="str">
        <v>LPBank</v>
      </c>
      <c r="F21" t="str">
        <v>https://cdn.vietqr.io/img/LPB.png</v>
      </c>
      <c r="G21" t="str">
        <v>LPBank</v>
      </c>
    </row>
    <row r="22">
      <c r="A22">
        <v>21</v>
      </c>
      <c r="B22" t="str">
        <v>Ngân hàng TMCP Quân đội</v>
      </c>
      <c r="C22" t="str">
        <v>MB</v>
      </c>
      <c r="D22">
        <v>970422</v>
      </c>
      <c r="E22" t="str">
        <v>MBBank</v>
      </c>
      <c r="F22" t="str">
        <v>https://cdn.vietqr.io/img/MB.png</v>
      </c>
      <c r="G22" t="str">
        <v>MBBank</v>
      </c>
    </row>
    <row r="23">
      <c r="A23">
        <v>22</v>
      </c>
      <c r="B23" t="str">
        <v>Ngân hàng TMCP Hàng Hải Việt Nam</v>
      </c>
      <c r="C23" t="str">
        <v>MSB</v>
      </c>
      <c r="D23">
        <v>970426</v>
      </c>
      <c r="E23" t="str">
        <v>MSB</v>
      </c>
      <c r="F23" t="str">
        <v>https://cdn.vietqr.io/img/MSB.png</v>
      </c>
      <c r="G23" t="str">
        <v>MSB</v>
      </c>
    </row>
    <row r="24">
      <c r="A24">
        <v>23</v>
      </c>
      <c r="B24" t="str">
        <v>Ngân hàng TMCP Nam Á</v>
      </c>
      <c r="C24" t="str">
        <v>NAB</v>
      </c>
      <c r="D24">
        <v>970428</v>
      </c>
      <c r="E24" t="str">
        <v>NamABank</v>
      </c>
      <c r="F24" t="str">
        <v>https://cdn.vietqr.io/img/NAB.png</v>
      </c>
      <c r="G24" t="str">
        <v>NamABank</v>
      </c>
    </row>
    <row r="25">
      <c r="A25">
        <v>24</v>
      </c>
      <c r="B25" t="str">
        <v>Ngân hàng TMCP Quốc Dân</v>
      </c>
      <c r="C25" t="str">
        <v>NCB</v>
      </c>
      <c r="D25">
        <v>970419</v>
      </c>
      <c r="E25" t="str">
        <v>NCB</v>
      </c>
      <c r="F25" t="str">
        <v>https://cdn.vietqr.io/img/NCB.png</v>
      </c>
      <c r="G25" t="str">
        <v>NCB</v>
      </c>
    </row>
    <row r="26">
      <c r="A26">
        <v>25</v>
      </c>
      <c r="B26" t="str">
        <v>Ngân hàng Nonghyup - Chi nhánh Hà Nội</v>
      </c>
      <c r="C26" t="str">
        <v>NHB HN</v>
      </c>
      <c r="D26">
        <v>801011</v>
      </c>
      <c r="E26" t="str">
        <v>Nonghyup</v>
      </c>
      <c r="F26" t="str">
        <v>https://cdn.vietqr.io/img/NHB.png</v>
      </c>
      <c r="G26" t="str">
        <v>Nonghyup</v>
      </c>
    </row>
    <row r="27">
      <c r="A27">
        <v>26</v>
      </c>
      <c r="B27" t="str">
        <v>Ngân hàng TMCP Phương Đông</v>
      </c>
      <c r="C27" t="str">
        <v>OCB</v>
      </c>
      <c r="D27">
        <v>970448</v>
      </c>
      <c r="E27" t="str">
        <v>OCB</v>
      </c>
      <c r="F27" t="str">
        <v>https://cdn.vietqr.io/img/OCB.png</v>
      </c>
      <c r="G27" t="str">
        <v>OCB</v>
      </c>
    </row>
    <row r="28">
      <c r="A28">
        <v>27</v>
      </c>
      <c r="B28" t="str">
        <v>Ngân hàng TNHH MTV Việt Nam Hiện Đại</v>
      </c>
      <c r="C28" t="str">
        <v>MBV</v>
      </c>
      <c r="D28">
        <v>970414</v>
      </c>
      <c r="E28" t="str">
        <v>MBV</v>
      </c>
      <c r="F28" t="str">
        <v>https://cdn.vietqr.io/img/MBV.png</v>
      </c>
      <c r="G28" t="str">
        <v>MBV</v>
      </c>
    </row>
    <row r="29">
      <c r="A29">
        <v>28</v>
      </c>
      <c r="B29" t="str">
        <v>Ngân hàng TNHH MTV Public Việt Nam</v>
      </c>
      <c r="C29" t="str">
        <v>PBVN</v>
      </c>
      <c r="D29">
        <v>970439</v>
      </c>
      <c r="E29" t="str">
        <v>PublicBank</v>
      </c>
      <c r="F29" t="str">
        <v>https://cdn.vietqr.io/img/PBVN.png</v>
      </c>
      <c r="G29" t="str">
        <v>PublicBank</v>
      </c>
    </row>
    <row r="30">
      <c r="A30">
        <v>29</v>
      </c>
      <c r="B30" t="str">
        <v>Ngân hàng TMCP Thịnh vượng và Phát triển</v>
      </c>
      <c r="C30" t="str">
        <v>PGB</v>
      </c>
      <c r="D30">
        <v>970430</v>
      </c>
      <c r="E30" t="str">
        <v>PGBank</v>
      </c>
      <c r="F30" t="str">
        <v>https://cdn.vietqr.io/img/PGB.png</v>
      </c>
      <c r="G30" t="str">
        <v>PGBank</v>
      </c>
    </row>
    <row r="31">
      <c r="A31">
        <v>30</v>
      </c>
      <c r="B31" t="str">
        <v>Ngân hàng TMCP Đại Chúng Việt Nam</v>
      </c>
      <c r="C31" t="str">
        <v>PVCB</v>
      </c>
      <c r="D31">
        <v>970412</v>
      </c>
      <c r="E31" t="str">
        <v>PVcomBank</v>
      </c>
      <c r="F31" t="str">
        <v>https://cdn.vietqr.io/img/PVCB.png</v>
      </c>
      <c r="G31" t="str">
        <v>PVcomBank</v>
      </c>
    </row>
    <row r="32">
      <c r="A32">
        <v>31</v>
      </c>
      <c r="B32" t="str">
        <v>Ngân hàng TMCP Sài Gòn</v>
      </c>
      <c r="C32" t="str">
        <v>SCB</v>
      </c>
      <c r="D32">
        <v>970429</v>
      </c>
      <c r="E32" t="str">
        <v>SCB</v>
      </c>
      <c r="F32" t="str">
        <v>https://cdn.vietqr.io/img/SCB.png</v>
      </c>
      <c r="G32" t="str">
        <v>SCB</v>
      </c>
    </row>
    <row r="33">
      <c r="A33">
        <v>32</v>
      </c>
      <c r="B33" t="str">
        <v>Ngân hàng TNHH MTV Standard Chartered Bank Việt Nam</v>
      </c>
      <c r="C33" t="str">
        <v>SCVN</v>
      </c>
      <c r="D33">
        <v>970410</v>
      </c>
      <c r="E33" t="str">
        <v>StandardChartered</v>
      </c>
      <c r="F33" t="str">
        <v>https://cdn.vietqr.io/img/SCVN.png</v>
      </c>
      <c r="G33" t="str">
        <v>StandardChartered</v>
      </c>
    </row>
    <row r="34">
      <c r="A34">
        <v>33</v>
      </c>
      <c r="B34" t="str">
        <v>Ngân hàng TMCP Đông Nam Á</v>
      </c>
      <c r="C34" t="str">
        <v>SEAB</v>
      </c>
      <c r="D34">
        <v>970440</v>
      </c>
      <c r="E34" t="str">
        <v>SeABank</v>
      </c>
      <c r="F34" t="str">
        <v>https://cdn.vietqr.io/img/SEAB.png</v>
      </c>
      <c r="G34" t="str">
        <v>SeABank</v>
      </c>
    </row>
    <row r="35">
      <c r="A35">
        <v>34</v>
      </c>
      <c r="B35" t="str">
        <v>Ngân hàng TMCP Sài Gòn Công Thương</v>
      </c>
      <c r="C35" t="str">
        <v>SGICB</v>
      </c>
      <c r="D35">
        <v>970400</v>
      </c>
      <c r="E35" t="str">
        <v>SaigonBank</v>
      </c>
      <c r="F35" t="str">
        <v>https://cdn.vietqr.io/img/SGICB.png</v>
      </c>
      <c r="G35" t="str">
        <v>SaigonBank</v>
      </c>
    </row>
    <row r="36">
      <c r="A36">
        <v>35</v>
      </c>
      <c r="B36" t="str">
        <v>Ngân hàng TMCP Sài Gòn - Hà Nội</v>
      </c>
      <c r="C36" t="str">
        <v>SHB</v>
      </c>
      <c r="D36">
        <v>970443</v>
      </c>
      <c r="E36" t="str">
        <v>SHB</v>
      </c>
      <c r="F36" t="str">
        <v>https://cdn.vietqr.io/img/SHB.png</v>
      </c>
      <c r="G36" t="str">
        <v>SHB</v>
      </c>
    </row>
    <row r="37">
      <c r="A37">
        <v>36</v>
      </c>
      <c r="B37" t="str">
        <v>Ngân hàng TMCP Sài Gòn Thương Tín</v>
      </c>
      <c r="C37" t="str">
        <v>STB</v>
      </c>
      <c r="D37">
        <v>970403</v>
      </c>
      <c r="E37" t="str">
        <v>Sacombank</v>
      </c>
      <c r="F37" t="str">
        <v>https://cdn.vietqr.io/img/STB.png</v>
      </c>
      <c r="G37" t="str">
        <v>Sacombank</v>
      </c>
    </row>
    <row r="38">
      <c r="A38">
        <v>37</v>
      </c>
      <c r="B38" t="str">
        <v>Ngân hàng TNHH MTV Shinhan Việt Nam</v>
      </c>
      <c r="C38" t="str">
        <v>SHBVN</v>
      </c>
      <c r="D38">
        <v>970424</v>
      </c>
      <c r="E38" t="str">
        <v>ShinhanBank</v>
      </c>
      <c r="F38" t="str">
        <v>https://cdn.vietqr.io/img/SHBVN.png</v>
      </c>
      <c r="G38" t="str">
        <v>ShinhanBank</v>
      </c>
    </row>
    <row r="39">
      <c r="A39">
        <v>38</v>
      </c>
      <c r="B39" t="str">
        <v>Ngân hàng TMCP Kỹ thương Việt Nam</v>
      </c>
      <c r="C39" t="str">
        <v>TCB</v>
      </c>
      <c r="D39">
        <v>970407</v>
      </c>
      <c r="E39" t="str">
        <v>Techcombank</v>
      </c>
      <c r="F39" t="str">
        <v>https://cdn.vietqr.io/img/TCB.png</v>
      </c>
      <c r="G39" t="str">
        <v>Techcombank</v>
      </c>
    </row>
    <row r="40">
      <c r="A40">
        <v>39</v>
      </c>
      <c r="B40" t="str">
        <v>Ngân hàng TMCP Tiên Phong</v>
      </c>
      <c r="C40" t="str">
        <v>TPB</v>
      </c>
      <c r="D40">
        <v>970423</v>
      </c>
      <c r="E40" t="str">
        <v>TPBank</v>
      </c>
      <c r="F40" t="str">
        <v>https://cdn.vietqr.io/img/TPB.png</v>
      </c>
      <c r="G40" t="str">
        <v>TPBank</v>
      </c>
    </row>
    <row r="41">
      <c r="A41">
        <v>40</v>
      </c>
      <c r="B41" t="str">
        <v>Ngân hàng United Overseas - Chi nhánh TP. Hồ Chí Minh</v>
      </c>
      <c r="C41" t="str">
        <v>UOB</v>
      </c>
      <c r="D41">
        <v>970458</v>
      </c>
      <c r="E41" t="str">
        <v>UnitedOverseas</v>
      </c>
      <c r="F41" t="str">
        <v>https://cdn.vietqr.io/img/UOB.png</v>
      </c>
      <c r="G41" t="str">
        <v>UnitedOverseas</v>
      </c>
    </row>
    <row r="42">
      <c r="A42">
        <v>41</v>
      </c>
      <c r="B42" t="str">
        <v>Ngân hàng TMCP Việt Á</v>
      </c>
      <c r="C42" t="str">
        <v>VAB</v>
      </c>
      <c r="D42">
        <v>970427</v>
      </c>
      <c r="E42" t="str">
        <v>VietABank</v>
      </c>
      <c r="F42" t="str">
        <v>https://cdn.vietqr.io/img/VAB.png</v>
      </c>
      <c r="G42" t="str">
        <v>VietABank</v>
      </c>
    </row>
    <row r="43">
      <c r="A43">
        <v>42</v>
      </c>
      <c r="B43" t="str">
        <v>Ngân hàng Nông nghiệp và Phát triển Nông thôn Việt Nam</v>
      </c>
      <c r="C43" t="str">
        <v>VBA</v>
      </c>
      <c r="D43">
        <v>970405</v>
      </c>
      <c r="E43" t="str">
        <v>Agribank</v>
      </c>
      <c r="F43" t="str">
        <v>https://cdn.vietqr.io/img/VBA.png</v>
      </c>
      <c r="G43" t="str">
        <v>Agribank</v>
      </c>
    </row>
    <row r="44">
      <c r="A44">
        <v>43</v>
      </c>
      <c r="B44" t="str">
        <v>Ngân hàng TMCP Ngoại Thương Việt Nam</v>
      </c>
      <c r="C44" t="str">
        <v>VCB</v>
      </c>
      <c r="D44">
        <v>970436</v>
      </c>
      <c r="E44" t="str">
        <v>Vietcombank</v>
      </c>
      <c r="F44" t="str">
        <v>https://cdn.vietqr.io/img/VCB.png</v>
      </c>
      <c r="G44" t="str">
        <v>Vietcombank</v>
      </c>
    </row>
    <row r="45">
      <c r="A45">
        <v>44</v>
      </c>
      <c r="B45" t="str">
        <v>Ngân hàng TMCP Bản Việt</v>
      </c>
      <c r="C45" t="str">
        <v>VCCB</v>
      </c>
      <c r="D45">
        <v>970454</v>
      </c>
      <c r="E45" t="str">
        <v>VietCapitalBank</v>
      </c>
      <c r="F45" t="str">
        <v>https://cdn.vietqr.io/img/VCCB.png</v>
      </c>
      <c r="G45" t="str">
        <v>VietCapitalBank</v>
      </c>
    </row>
    <row r="46">
      <c r="A46">
        <v>45</v>
      </c>
      <c r="B46" t="str">
        <v>Ngân hàng TMCP Quốc tế Việt Nam</v>
      </c>
      <c r="C46" t="str">
        <v>VIB</v>
      </c>
      <c r="D46">
        <v>970441</v>
      </c>
      <c r="E46" t="str">
        <v>VIB</v>
      </c>
      <c r="F46" t="str">
        <v>https://cdn.vietqr.io/img/VIB.png</v>
      </c>
      <c r="G46" t="str">
        <v>VIB</v>
      </c>
    </row>
    <row r="47">
      <c r="A47">
        <v>46</v>
      </c>
      <c r="B47" t="str">
        <v>Ngân hàng TMCP Việt Nam Thương Tín</v>
      </c>
      <c r="C47" t="str">
        <v>VIETBANK</v>
      </c>
      <c r="D47">
        <v>970433</v>
      </c>
      <c r="E47" t="str">
        <v>VietBank</v>
      </c>
      <c r="F47" t="str">
        <v>https://cdn.vietqr.io/img/VIETBANK.png</v>
      </c>
      <c r="G47" t="str">
        <v>VietBank</v>
      </c>
    </row>
    <row r="48">
      <c r="A48">
        <v>47</v>
      </c>
      <c r="B48" t="str">
        <v>Ngân hàng TMCP Việt Nam Thịnh Vượng</v>
      </c>
      <c r="C48" t="str">
        <v>VPB</v>
      </c>
      <c r="D48">
        <v>970432</v>
      </c>
      <c r="E48" t="str">
        <v>VPBank</v>
      </c>
      <c r="F48" t="str">
        <v>https://cdn.vietqr.io/img/VPB.png</v>
      </c>
      <c r="G48" t="str">
        <v>VPBank</v>
      </c>
    </row>
    <row r="49">
      <c r="A49">
        <v>48</v>
      </c>
      <c r="B49" t="str">
        <v>Ngân hàng Liên doanh Việt - Nga</v>
      </c>
      <c r="C49" t="str">
        <v>VRB</v>
      </c>
      <c r="D49">
        <v>970421</v>
      </c>
      <c r="E49" t="str">
        <v>VRB</v>
      </c>
      <c r="F49" t="str">
        <v>https://cdn.vietqr.io/img/VRB.png</v>
      </c>
      <c r="G49" t="str">
        <v>VRB</v>
      </c>
    </row>
    <row r="50">
      <c r="A50">
        <v>49</v>
      </c>
      <c r="B50" t="str">
        <v>Ngân hàng TNHH MTV Woori Việt Nam</v>
      </c>
      <c r="C50" t="str">
        <v>WVN</v>
      </c>
      <c r="D50">
        <v>970457</v>
      </c>
      <c r="E50" t="str">
        <v>Woori</v>
      </c>
      <c r="F50" t="str">
        <v>https://cdn.vietqr.io/img/WVN.png</v>
      </c>
      <c r="G50" t="str">
        <v>Woori</v>
      </c>
    </row>
    <row r="51">
      <c r="A51">
        <v>50</v>
      </c>
      <c r="B51" t="str">
        <v>Ngân hàng Kookmin - Chi nhánh Hà Nội</v>
      </c>
      <c r="C51" t="str">
        <v>KBHN</v>
      </c>
      <c r="D51">
        <v>970462</v>
      </c>
      <c r="E51" t="str">
        <v>KookminHN</v>
      </c>
      <c r="F51" t="str">
        <v>https://cdn.vietqr.io/img/KBHN.png</v>
      </c>
      <c r="G51" t="str">
        <v>KookminHN</v>
      </c>
    </row>
    <row r="52">
      <c r="A52">
        <v>51</v>
      </c>
      <c r="B52" t="str">
        <v>Ngân hàng Kookmin - Chi nhánh Thành phố Hồ Chí Minh</v>
      </c>
      <c r="C52" t="str">
        <v>KBHCM</v>
      </c>
      <c r="D52">
        <v>970463</v>
      </c>
      <c r="E52" t="str">
        <v>KookminHCM</v>
      </c>
      <c r="F52" t="str">
        <v>https://cdn.vietqr.io/img/KBHCM.png</v>
      </c>
      <c r="G52" t="str">
        <v>KookminHCM</v>
      </c>
    </row>
    <row r="53">
      <c r="A53">
        <v>52</v>
      </c>
      <c r="B53" t="str">
        <v>Ngân hàng Hợp tác xã Việt Nam</v>
      </c>
      <c r="C53" t="str">
        <v>COOPBANK</v>
      </c>
      <c r="D53">
        <v>970446</v>
      </c>
      <c r="E53" t="str">
        <v>COOPBANK</v>
      </c>
      <c r="F53" t="str">
        <v>https://cdn.vietqr.io/img/COOPBANK.png</v>
      </c>
      <c r="G53" t="str">
        <v>COOPBANK</v>
      </c>
    </row>
    <row r="54">
      <c r="A54">
        <v>53</v>
      </c>
      <c r="B54" t="str">
        <v>TMCP Việt Nam Thịnh Vượng - Ngân hàng số CAKE by VPBank</v>
      </c>
      <c r="C54" t="str">
        <v>CAKE</v>
      </c>
      <c r="D54">
        <v>546034</v>
      </c>
      <c r="E54" t="str">
        <v>CAKE</v>
      </c>
      <c r="F54" t="str">
        <v>https://cdn.vietqr.io/img/CAKE.png</v>
      </c>
      <c r="G54" t="str">
        <v>CAKE</v>
      </c>
    </row>
    <row r="55">
      <c r="A55">
        <v>54</v>
      </c>
      <c r="B55" t="str">
        <v>TMCP Việt Nam Thịnh Vượng - Ngân hàng số Ubank by VPBank</v>
      </c>
      <c r="C55" t="str">
        <v>Ubank</v>
      </c>
      <c r="D55">
        <v>546035</v>
      </c>
      <c r="E55" t="str">
        <v>Ubank</v>
      </c>
      <c r="F55" t="str">
        <v>https://cdn.vietqr.io/img/UBANK.png</v>
      </c>
      <c r="G55" t="str">
        <v>Ubank</v>
      </c>
    </row>
    <row r="56">
      <c r="A56">
        <v>55</v>
      </c>
      <c r="B56" t="str">
        <v>Ngân hàng Đại chúng TNHH Kasikornbank</v>
      </c>
      <c r="C56" t="str">
        <v>KBank</v>
      </c>
      <c r="D56">
        <v>668888</v>
      </c>
      <c r="E56" t="str">
        <v>KBank</v>
      </c>
      <c r="F56" t="str">
        <v>https://cdn.vietqr.io/img/KBANK.png</v>
      </c>
      <c r="G56" t="str">
        <v>KBank</v>
      </c>
    </row>
    <row r="57">
      <c r="A57">
        <v>56</v>
      </c>
      <c r="B57" t="str">
        <v>VNPT Money</v>
      </c>
      <c r="C57" t="str">
        <v>VNPTMONEY</v>
      </c>
      <c r="D57">
        <v>971011</v>
      </c>
      <c r="E57" t="str">
        <v>VNPTMoney</v>
      </c>
      <c r="F57" t="str">
        <v>https://cdn.vietqr.io/img/VNPTMONEY.png</v>
      </c>
      <c r="G57" t="str">
        <v>VNPTMoney</v>
      </c>
    </row>
    <row r="58">
      <c r="A58">
        <v>57</v>
      </c>
      <c r="B58" t="str">
        <v>Tổng Công ty Dịch vụ số Viettel - Chi nhánh tập đoàn công nghiệp viễn thông Quân Đội</v>
      </c>
      <c r="C58" t="str">
        <v>VTLMONEY</v>
      </c>
      <c r="D58">
        <v>971005</v>
      </c>
      <c r="E58" t="str">
        <v>ViettelMoney</v>
      </c>
      <c r="F58" t="str">
        <v>https://cdn.vietqr.io/img/VIETTELMONEY.png</v>
      </c>
      <c r="G58" t="str">
        <v>ViettelMoney</v>
      </c>
    </row>
    <row r="59">
      <c r="A59">
        <v>58</v>
      </c>
      <c r="B59" t="str">
        <v>Ngân hàng số Timo by Ban Viet Bank (Timo by Ban Viet Bank)</v>
      </c>
      <c r="C59" t="str">
        <v>TIMO</v>
      </c>
      <c r="D59">
        <v>963388</v>
      </c>
      <c r="E59" t="str">
        <v>Timo</v>
      </c>
      <c r="F59" t="str">
        <v>https://vietqr.net/portal-service/resources/icons/TIMO.png</v>
      </c>
      <c r="G59" t="str">
        <v>Timo</v>
      </c>
    </row>
    <row r="60">
      <c r="A60">
        <v>59</v>
      </c>
      <c r="B60" t="str">
        <v>Ngân hàng Citibank, N.A. - Chi nhánh Hà Nội</v>
      </c>
      <c r="C60" t="str">
        <v>CITIBANK</v>
      </c>
      <c r="D60">
        <v>533948</v>
      </c>
      <c r="E60" t="str">
        <v>Citibank</v>
      </c>
      <c r="F60" t="str">
        <v>https://cdn.vietqr.io/img/CITIBANK.png</v>
      </c>
      <c r="G60" t="str">
        <v>Citibank</v>
      </c>
    </row>
    <row r="61">
      <c r="A61">
        <v>60</v>
      </c>
      <c r="B61" t="str">
        <v>Ngân hàng KEB Hana – Chi nhánh Thành phố Hồ Chí Minh</v>
      </c>
      <c r="C61" t="str">
        <v>KEBHANAHCM</v>
      </c>
      <c r="D61">
        <v>970466</v>
      </c>
      <c r="E61" t="str">
        <v>KEBHanaHCM</v>
      </c>
      <c r="F61" t="str">
        <v>https://cdn.vietqr.io/img/KEBHANAHCM.png</v>
      </c>
      <c r="G61" t="str">
        <v>KEBHanaHCM</v>
      </c>
    </row>
    <row r="62">
      <c r="A62">
        <v>61</v>
      </c>
      <c r="B62" t="str">
        <v>Ngân hàng KEB Hana – Chi nhánh Hà Nội</v>
      </c>
      <c r="C62" t="str">
        <v>KEBHANAHN</v>
      </c>
      <c r="D62">
        <v>970467</v>
      </c>
      <c r="E62" t="str">
        <v>KEBHANAHN</v>
      </c>
      <c r="F62" t="str">
        <v>https://cdn.vietqr.io/img/KEBHANAHN.png</v>
      </c>
      <c r="G62" t="str">
        <v>KEBHANAHN</v>
      </c>
    </row>
    <row r="63">
      <c r="A63">
        <v>62</v>
      </c>
      <c r="B63" t="str">
        <v>Công ty Tài chính TNHH MTV Mirae Asset (Việt Nam)</v>
      </c>
      <c r="C63" t="str">
        <v>MAFC</v>
      </c>
      <c r="D63">
        <v>977777</v>
      </c>
      <c r="E63" t="str">
        <v>MAFC</v>
      </c>
      <c r="F63" t="str">
        <v>https://cdn.vietqr.io/img/MAFC.png</v>
      </c>
      <c r="G63" t="str">
        <v>MAFC</v>
      </c>
    </row>
    <row r="64">
      <c r="A64">
        <v>63</v>
      </c>
      <c r="B64" t="str">
        <v>Ngân hàng Chính sách Xã hội</v>
      </c>
      <c r="C64" t="str">
        <v>VBSP</v>
      </c>
      <c r="D64">
        <v>999888</v>
      </c>
      <c r="E64" t="str">
        <v>VBSP</v>
      </c>
      <c r="F64" t="str">
        <v>https://cdn.vietqr.io/img/VBSP.png</v>
      </c>
      <c r="G64" t="str">
        <v>VBSP</v>
      </c>
    </row>
    <row r="65">
      <c r="A65">
        <v>64</v>
      </c>
      <c r="B65" t="str">
        <v>Ngân hàng TMCP Đại Chúng Việt Nam Ngân hàng số</v>
      </c>
      <c r="C65" t="str">
        <v>PVDB</v>
      </c>
      <c r="D65">
        <v>971133</v>
      </c>
      <c r="E65" t="str">
        <v>PVcomBank Pay</v>
      </c>
      <c r="F65" t="str">
        <v>https://cdn.vietqr.io/img/PVCB.png</v>
      </c>
      <c r="G65" t="str">
        <v>PVcomBank Pay</v>
      </c>
    </row>
    <row r="66">
      <c r="A66">
        <v>65</v>
      </c>
      <c r="B66" t="str">
        <v>CTCP Dịch Vụ Di Động Trực Tuyến</v>
      </c>
      <c r="C66" t="str">
        <v>momo</v>
      </c>
      <c r="D66">
        <v>971025</v>
      </c>
      <c r="E66" t="str">
        <v>MoMo</v>
      </c>
      <c r="F66" t="str">
        <v>https://cdn.vietqr.io/img/momo.png</v>
      </c>
      <c r="G66" t="str">
        <v>MoMo</v>
      </c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</hyperlinks>
  <pageMargins left="0.7" right="0.7" top="0.75" bottom="0.75" header="0.3" footer="0.3"/>
  <ignoredErrors>
    <ignoredError numberStoredAsText="1" sqref="A1:H6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2026-06-03T08:19:01Z</dcterms:created>
  <dcterms:modified xsi:type="dcterms:W3CDTF">2026-06-03T15:29:09Z</dcterms:modified>
  <cp:lastModifiedBy>Tran Tuan Kiet Huynh</cp:lastModifiedBy>
  <dc:creator>Tran Tuan Kiet Huynh</dc:creator>
</cp:coreProperties>
</file>