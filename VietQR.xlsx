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WebImage.xml" ContentType="application/vnd.ms-excel.rdrichvaluewebimage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dc1839e5dfca2ccd/Desktop/"/>
    </mc:Choice>
  </mc:AlternateContent>
  <xr:revisionPtr revIDLastSave="0" documentId="8_{60C074BA-9212-4351-BDA2-AD1946ADFCDD}" xr6:coauthVersionLast="47" xr6:coauthVersionMax="47" xr10:uidLastSave="{00000000-0000-0000-0000-000000000000}"/>
  <bookViews>
    <workbookView xWindow="-108" yWindow="-108" windowWidth="23256" windowHeight="12576" activeTab="2" xr2:uid="{00000000-000D-0000-FFFF-FFFF00000000}"/>
  </bookViews>
  <sheets>
    <sheet name="Viet_qr_Gsheet" sheetId="1" r:id="rId1"/>
    <sheet name="List_bank" sheetId="4" r:id="rId2"/>
    <sheet name="API - io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" l="1"/>
  <c r="D9" i="4"/>
  <c r="D45" i="4"/>
  <c r="F88" i="4"/>
  <c r="A25" i="1"/>
  <c r="A8" i="1"/>
  <c r="A7" i="1"/>
  <c r="A6" i="1"/>
  <c r="H8" i="4" l="1"/>
  <c r="I8" i="4"/>
  <c r="F8" i="4"/>
  <c r="E8" i="4"/>
  <c r="D8" i="4"/>
  <c r="F58" i="4"/>
  <c r="D58" i="4"/>
  <c r="E58" i="4"/>
  <c r="F82" i="4"/>
  <c r="E82" i="4"/>
  <c r="D82" i="4"/>
  <c r="F70" i="4"/>
  <c r="E70" i="4"/>
  <c r="D70" i="4"/>
  <c r="H34" i="4"/>
  <c r="I34" i="4"/>
  <c r="G34" i="4"/>
  <c r="F34" i="4"/>
  <c r="E34" i="4"/>
  <c r="D34" i="4"/>
  <c r="H22" i="4"/>
  <c r="D22" i="4"/>
  <c r="E22" i="4"/>
  <c r="G22" i="4"/>
  <c r="I22" i="4"/>
  <c r="F22" i="4"/>
  <c r="D69" i="4"/>
  <c r="E69" i="4"/>
  <c r="G69" i="4"/>
  <c r="F69" i="4"/>
  <c r="I69" i="4"/>
  <c r="H69" i="4"/>
  <c r="D33" i="4"/>
  <c r="F33" i="4"/>
  <c r="E33" i="4"/>
  <c r="H33" i="4"/>
  <c r="I33" i="4"/>
  <c r="G33" i="4"/>
  <c r="D92" i="4"/>
  <c r="F92" i="4"/>
  <c r="E92" i="4"/>
  <c r="F56" i="4"/>
  <c r="E56" i="4"/>
  <c r="D56" i="4"/>
  <c r="H44" i="4"/>
  <c r="I44" i="4"/>
  <c r="H6" i="4"/>
  <c r="G6" i="4"/>
  <c r="F6" i="4"/>
  <c r="D6" i="4"/>
  <c r="F76" i="4"/>
  <c r="E76" i="4"/>
  <c r="D76" i="4"/>
  <c r="F64" i="4"/>
  <c r="E64" i="4"/>
  <c r="H52" i="4"/>
  <c r="D52" i="4"/>
  <c r="H40" i="4"/>
  <c r="I40" i="4"/>
  <c r="G40" i="4"/>
  <c r="F40" i="4"/>
  <c r="E40" i="4"/>
  <c r="D40" i="4"/>
  <c r="H28" i="4"/>
  <c r="D28" i="4"/>
  <c r="I28" i="4"/>
  <c r="E28" i="4"/>
  <c r="H16" i="4"/>
  <c r="D16" i="4"/>
  <c r="H4" i="4"/>
  <c r="D4" i="4"/>
  <c r="F4" i="4"/>
  <c r="I4" i="4"/>
  <c r="E4" i="4"/>
  <c r="G4" i="4"/>
  <c r="F68" i="4"/>
  <c r="E68" i="4"/>
  <c r="D68" i="4"/>
  <c r="H20" i="4"/>
  <c r="I20" i="4"/>
  <c r="G20" i="4"/>
  <c r="F20" i="4"/>
  <c r="E20" i="4"/>
  <c r="D20" i="4"/>
  <c r="G99" i="4"/>
  <c r="F99" i="4"/>
  <c r="I99" i="4"/>
  <c r="H99" i="4"/>
  <c r="I87" i="4"/>
  <c r="F87" i="4"/>
  <c r="G87" i="4"/>
  <c r="D75" i="4"/>
  <c r="E75" i="4"/>
  <c r="I75" i="4"/>
  <c r="H75" i="4"/>
  <c r="G75" i="4"/>
  <c r="D63" i="4"/>
  <c r="I63" i="4"/>
  <c r="H63" i="4"/>
  <c r="G63" i="4"/>
  <c r="F63" i="4"/>
  <c r="E63" i="4"/>
  <c r="D51" i="4"/>
  <c r="F51" i="4"/>
  <c r="E51" i="4"/>
  <c r="I51" i="4"/>
  <c r="G51" i="4"/>
  <c r="H51" i="4"/>
  <c r="D39" i="4"/>
  <c r="I39" i="4"/>
  <c r="H39" i="4"/>
  <c r="F39" i="4"/>
  <c r="G39" i="4"/>
  <c r="E39" i="4"/>
  <c r="D27" i="4"/>
  <c r="G27" i="4"/>
  <c r="E27" i="4"/>
  <c r="F27" i="4"/>
  <c r="H27" i="4"/>
  <c r="I27" i="4"/>
  <c r="D15" i="4"/>
  <c r="F15" i="4"/>
  <c r="E15" i="4"/>
  <c r="I15" i="4"/>
  <c r="H15" i="4"/>
  <c r="G15" i="4"/>
  <c r="D3" i="4"/>
  <c r="I3" i="4"/>
  <c r="G3" i="4"/>
  <c r="H3" i="4"/>
  <c r="F3" i="4"/>
  <c r="B2" i="1" s="1"/>
  <c r="E3" i="4"/>
  <c r="F94" i="4"/>
  <c r="D94" i="4"/>
  <c r="H46" i="4"/>
  <c r="E46" i="4"/>
  <c r="D46" i="4"/>
  <c r="I46" i="4"/>
  <c r="G46" i="4"/>
  <c r="F46" i="4"/>
  <c r="H10" i="4"/>
  <c r="E10" i="4"/>
  <c r="F10" i="4"/>
  <c r="D10" i="4"/>
  <c r="I10" i="4"/>
  <c r="G10" i="4"/>
  <c r="D81" i="4"/>
  <c r="G81" i="4"/>
  <c r="D57" i="4"/>
  <c r="H57" i="4"/>
  <c r="G57" i="4"/>
  <c r="D21" i="4"/>
  <c r="H21" i="4"/>
  <c r="E21" i="4"/>
  <c r="H32" i="4"/>
  <c r="I32" i="4"/>
  <c r="G32" i="4"/>
  <c r="F32" i="4"/>
  <c r="E32" i="4"/>
  <c r="D32" i="4"/>
  <c r="F98" i="4"/>
  <c r="E98" i="4"/>
  <c r="D98" i="4"/>
  <c r="F86" i="4"/>
  <c r="D86" i="4"/>
  <c r="E74" i="4"/>
  <c r="F74" i="4"/>
  <c r="D74" i="4"/>
  <c r="E62" i="4"/>
  <c r="F62" i="4"/>
  <c r="D62" i="4"/>
  <c r="H50" i="4"/>
  <c r="I50" i="4"/>
  <c r="G50" i="4"/>
  <c r="F50" i="4"/>
  <c r="E50" i="4"/>
  <c r="D50" i="4"/>
  <c r="H38" i="4"/>
  <c r="G38" i="4"/>
  <c r="E38" i="4"/>
  <c r="F38" i="4"/>
  <c r="I38" i="4"/>
  <c r="D38" i="4"/>
  <c r="H26" i="4"/>
  <c r="I26" i="4"/>
  <c r="G26" i="4"/>
  <c r="F26" i="4"/>
  <c r="E26" i="4"/>
  <c r="D26" i="4"/>
  <c r="H14" i="4"/>
  <c r="I14" i="4"/>
  <c r="G14" i="4"/>
  <c r="F14" i="4"/>
  <c r="E14" i="4"/>
  <c r="D14" i="4"/>
  <c r="D61" i="4"/>
  <c r="G61" i="4"/>
  <c r="I61" i="4"/>
  <c r="H61" i="4"/>
  <c r="F61" i="4"/>
  <c r="E61" i="4"/>
  <c r="E101" i="4"/>
  <c r="D101" i="4"/>
  <c r="G101" i="4"/>
  <c r="F101" i="4"/>
  <c r="H101" i="4"/>
  <c r="I101" i="4"/>
  <c r="E91" i="4"/>
  <c r="D91" i="4"/>
  <c r="F91" i="4"/>
  <c r="G91" i="4"/>
  <c r="H91" i="4"/>
  <c r="I91" i="4"/>
  <c r="I60" i="4"/>
  <c r="H60" i="4"/>
  <c r="G60" i="4"/>
  <c r="D60" i="4"/>
  <c r="E60" i="4"/>
  <c r="F60" i="4"/>
  <c r="D29" i="4"/>
  <c r="I29" i="4"/>
  <c r="H29" i="4"/>
  <c r="G29" i="4"/>
  <c r="E29" i="4"/>
  <c r="F29" i="4"/>
  <c r="D19" i="4"/>
  <c r="F19" i="4"/>
  <c r="I19" i="4"/>
  <c r="G19" i="4"/>
  <c r="H19" i="4"/>
  <c r="E19" i="4"/>
  <c r="D71" i="4"/>
  <c r="I71" i="4"/>
  <c r="H71" i="4"/>
  <c r="G71" i="4"/>
  <c r="F71" i="4"/>
  <c r="E71" i="4"/>
  <c r="I90" i="4"/>
  <c r="H90" i="4"/>
  <c r="G90" i="4"/>
  <c r="F90" i="4"/>
  <c r="E90" i="4"/>
  <c r="D90" i="4"/>
  <c r="D59" i="4"/>
  <c r="I59" i="4"/>
  <c r="H59" i="4"/>
  <c r="G59" i="4"/>
  <c r="F59" i="4"/>
  <c r="E59" i="4"/>
  <c r="D49" i="4"/>
  <c r="G49" i="4"/>
  <c r="F49" i="4"/>
  <c r="E49" i="4"/>
  <c r="I49" i="4"/>
  <c r="H49" i="4"/>
  <c r="H18" i="4"/>
  <c r="E18" i="4"/>
  <c r="D18" i="4"/>
  <c r="G18" i="4"/>
  <c r="F18" i="4"/>
  <c r="I18" i="4"/>
  <c r="I72" i="4"/>
  <c r="H72" i="4"/>
  <c r="G72" i="4"/>
  <c r="D72" i="4"/>
  <c r="E72" i="4"/>
  <c r="F72" i="4"/>
  <c r="E89" i="4"/>
  <c r="D89" i="4"/>
  <c r="I89" i="4"/>
  <c r="F89" i="4"/>
  <c r="H89" i="4"/>
  <c r="G89" i="4"/>
  <c r="H48" i="4"/>
  <c r="D48" i="4"/>
  <c r="I48" i="4"/>
  <c r="G48" i="4"/>
  <c r="F48" i="4"/>
  <c r="E48" i="4"/>
  <c r="D17" i="4"/>
  <c r="I17" i="4"/>
  <c r="H17" i="4"/>
  <c r="G17" i="4"/>
  <c r="E17" i="4"/>
  <c r="F17" i="4"/>
  <c r="D7" i="4"/>
  <c r="F7" i="4"/>
  <c r="I7" i="4"/>
  <c r="G7" i="4"/>
  <c r="H7" i="4"/>
  <c r="E7" i="4"/>
  <c r="I78" i="4"/>
  <c r="H78" i="4"/>
  <c r="G78" i="4"/>
  <c r="D78" i="4"/>
  <c r="F78" i="4"/>
  <c r="E78" i="4"/>
  <c r="D47" i="4"/>
  <c r="E47" i="4"/>
  <c r="F47" i="4"/>
  <c r="G47" i="4"/>
  <c r="I47" i="4"/>
  <c r="H47" i="4"/>
  <c r="D37" i="4"/>
  <c r="G37" i="4"/>
  <c r="F37" i="4"/>
  <c r="H37" i="4"/>
  <c r="E37" i="4"/>
  <c r="I37" i="4"/>
  <c r="D41" i="4"/>
  <c r="I41" i="4"/>
  <c r="H41" i="4"/>
  <c r="G41" i="4"/>
  <c r="F41" i="4"/>
  <c r="E41" i="4"/>
  <c r="H30" i="4"/>
  <c r="E30" i="4"/>
  <c r="D30" i="4"/>
  <c r="F30" i="4"/>
  <c r="G30" i="4"/>
  <c r="I30" i="4"/>
  <c r="D77" i="4"/>
  <c r="I77" i="4"/>
  <c r="H77" i="4"/>
  <c r="G77" i="4"/>
  <c r="F77" i="4"/>
  <c r="E77" i="4"/>
  <c r="D67" i="4"/>
  <c r="G67" i="4"/>
  <c r="I67" i="4"/>
  <c r="H67" i="4"/>
  <c r="F67" i="4"/>
  <c r="E67" i="4"/>
  <c r="H36" i="4"/>
  <c r="I36" i="4"/>
  <c r="D36" i="4"/>
  <c r="G36" i="4"/>
  <c r="F36" i="4"/>
  <c r="E36" i="4"/>
  <c r="E97" i="4"/>
  <c r="D97" i="4"/>
  <c r="I97" i="4"/>
  <c r="H97" i="4"/>
  <c r="G97" i="4"/>
  <c r="F97" i="4"/>
  <c r="I66" i="4"/>
  <c r="H66" i="4"/>
  <c r="G66" i="4"/>
  <c r="D66" i="4"/>
  <c r="E66" i="4"/>
  <c r="F66" i="4"/>
  <c r="D35" i="4"/>
  <c r="E35" i="4"/>
  <c r="F35" i="4"/>
  <c r="I35" i="4"/>
  <c r="H35" i="4"/>
  <c r="G35" i="4"/>
  <c r="D25" i="4"/>
  <c r="G25" i="4"/>
  <c r="H25" i="4"/>
  <c r="F25" i="4"/>
  <c r="E25" i="4"/>
  <c r="I25" i="4"/>
  <c r="D5" i="4"/>
  <c r="H5" i="4"/>
  <c r="I5" i="4"/>
  <c r="G5" i="4"/>
  <c r="E5" i="4"/>
  <c r="F5" i="4"/>
  <c r="D79" i="4"/>
  <c r="I79" i="4"/>
  <c r="G79" i="4"/>
  <c r="H79" i="4"/>
  <c r="F79" i="4"/>
  <c r="E79" i="4"/>
  <c r="I96" i="4"/>
  <c r="H96" i="4"/>
  <c r="G96" i="4"/>
  <c r="F96" i="4"/>
  <c r="E96" i="4"/>
  <c r="D96" i="4"/>
  <c r="D65" i="4"/>
  <c r="I65" i="4"/>
  <c r="H65" i="4"/>
  <c r="G65" i="4"/>
  <c r="F65" i="4"/>
  <c r="E65" i="4"/>
  <c r="D55" i="4"/>
  <c r="G55" i="4"/>
  <c r="I55" i="4"/>
  <c r="H55" i="4"/>
  <c r="F55" i="4"/>
  <c r="E55" i="4"/>
  <c r="H24" i="4"/>
  <c r="D24" i="4"/>
  <c r="I24" i="4"/>
  <c r="G24" i="4"/>
  <c r="E24" i="4"/>
  <c r="F24" i="4"/>
  <c r="I54" i="4"/>
  <c r="H54" i="4"/>
  <c r="E54" i="4"/>
  <c r="D54" i="4"/>
  <c r="F54" i="4"/>
  <c r="G54" i="4"/>
  <c r="D23" i="4"/>
  <c r="E23" i="4"/>
  <c r="F23" i="4"/>
  <c r="G23" i="4"/>
  <c r="I23" i="4"/>
  <c r="H23" i="4"/>
  <c r="D13" i="4"/>
  <c r="G13" i="4"/>
  <c r="F13" i="4"/>
  <c r="H13" i="4"/>
  <c r="E13" i="4"/>
  <c r="I13" i="4"/>
  <c r="D31" i="4"/>
  <c r="I31" i="4"/>
  <c r="H31" i="4"/>
  <c r="G31" i="4"/>
  <c r="F31" i="4"/>
  <c r="E31" i="4"/>
  <c r="E95" i="4"/>
  <c r="D95" i="4"/>
  <c r="I95" i="4"/>
  <c r="H95" i="4"/>
  <c r="F95" i="4"/>
  <c r="G95" i="4"/>
  <c r="I84" i="4"/>
  <c r="H84" i="4"/>
  <c r="G84" i="4"/>
  <c r="D84" i="4"/>
  <c r="E84" i="4"/>
  <c r="F84" i="4"/>
  <c r="D53" i="4"/>
  <c r="I53" i="4"/>
  <c r="H53" i="4"/>
  <c r="G53" i="4"/>
  <c r="F53" i="4"/>
  <c r="E53" i="4"/>
  <c r="D43" i="4"/>
  <c r="I43" i="4"/>
  <c r="H43" i="4"/>
  <c r="F43" i="4"/>
  <c r="G43" i="4"/>
  <c r="E43" i="4"/>
  <c r="H12" i="4"/>
  <c r="I12" i="4"/>
  <c r="D12" i="4"/>
  <c r="G12" i="4"/>
  <c r="E12" i="4"/>
  <c r="F12" i="4"/>
  <c r="E85" i="4"/>
  <c r="D85" i="4"/>
  <c r="H85" i="4"/>
  <c r="I85" i="4"/>
  <c r="G85" i="4"/>
  <c r="F85" i="4"/>
  <c r="D83" i="4"/>
  <c r="I83" i="4"/>
  <c r="H83" i="4"/>
  <c r="G83" i="4"/>
  <c r="F83" i="4"/>
  <c r="E83" i="4"/>
  <c r="D73" i="4"/>
  <c r="G73" i="4"/>
  <c r="I73" i="4"/>
  <c r="H73" i="4"/>
  <c r="F73" i="4"/>
  <c r="E73" i="4"/>
  <c r="H42" i="4"/>
  <c r="E42" i="4"/>
  <c r="D42" i="4"/>
  <c r="F42" i="4"/>
  <c r="G42" i="4"/>
  <c r="I42" i="4"/>
  <c r="D11" i="4"/>
  <c r="E11" i="4"/>
  <c r="G11" i="4"/>
  <c r="F11" i="4"/>
  <c r="I11" i="4"/>
  <c r="H11" i="4"/>
  <c r="E9" i="4"/>
  <c r="I6" i="4"/>
  <c r="F9" i="4"/>
  <c r="F16" i="4"/>
  <c r="F21" i="4"/>
  <c r="F28" i="4"/>
  <c r="F45" i="4"/>
  <c r="F52" i="4"/>
  <c r="I57" i="4"/>
  <c r="I81" i="4"/>
  <c r="E88" i="4"/>
  <c r="I94" i="4"/>
  <c r="H94" i="4"/>
  <c r="G94" i="4"/>
  <c r="E87" i="4"/>
  <c r="D87" i="4"/>
  <c r="I58" i="4"/>
  <c r="H58" i="4"/>
  <c r="G58" i="4"/>
  <c r="E16" i="4"/>
  <c r="H81" i="4"/>
  <c r="D88" i="4"/>
  <c r="I80" i="4"/>
  <c r="H80" i="4"/>
  <c r="G80" i="4"/>
  <c r="G9" i="4"/>
  <c r="G16" i="4"/>
  <c r="G21" i="4"/>
  <c r="G28" i="4"/>
  <c r="G45" i="4"/>
  <c r="G52" i="4"/>
  <c r="D64" i="4"/>
  <c r="I86" i="4"/>
  <c r="H86" i="4"/>
  <c r="G86" i="4"/>
  <c r="I45" i="4"/>
  <c r="I92" i="4"/>
  <c r="H92" i="4"/>
  <c r="G92" i="4"/>
  <c r="I56" i="4"/>
  <c r="H56" i="4"/>
  <c r="G56" i="4"/>
  <c r="H45" i="4"/>
  <c r="I52" i="4"/>
  <c r="I100" i="4"/>
  <c r="H100" i="4"/>
  <c r="G100" i="4"/>
  <c r="E93" i="4"/>
  <c r="D93" i="4"/>
  <c r="I64" i="4"/>
  <c r="H64" i="4"/>
  <c r="G64" i="4"/>
  <c r="F93" i="4"/>
  <c r="E99" i="4"/>
  <c r="D99" i="4"/>
  <c r="I70" i="4"/>
  <c r="H70" i="4"/>
  <c r="G70" i="4"/>
  <c r="E45" i="4"/>
  <c r="E52" i="4"/>
  <c r="I9" i="4"/>
  <c r="I21" i="4"/>
  <c r="D80" i="4"/>
  <c r="E86" i="4"/>
  <c r="G93" i="4"/>
  <c r="D100" i="4"/>
  <c r="I98" i="4"/>
  <c r="H98" i="4"/>
  <c r="G98" i="4"/>
  <c r="I62" i="4"/>
  <c r="H62" i="4"/>
  <c r="G62" i="4"/>
  <c r="I88" i="4"/>
  <c r="H88" i="4"/>
  <c r="G88" i="4"/>
  <c r="D44" i="4"/>
  <c r="E80" i="4"/>
  <c r="H93" i="4"/>
  <c r="E100" i="4"/>
  <c r="I76" i="4"/>
  <c r="H76" i="4"/>
  <c r="G76" i="4"/>
  <c r="H9" i="4"/>
  <c r="E44" i="4"/>
  <c r="F80" i="4"/>
  <c r="I93" i="4"/>
  <c r="F100" i="4"/>
  <c r="I68" i="4"/>
  <c r="H68" i="4"/>
  <c r="G68" i="4"/>
  <c r="I16" i="4"/>
  <c r="F44" i="4"/>
  <c r="E57" i="4"/>
  <c r="E81" i="4"/>
  <c r="I82" i="4"/>
  <c r="H82" i="4"/>
  <c r="G82" i="4"/>
  <c r="E6" i="4"/>
  <c r="G8" i="4"/>
  <c r="G44" i="4"/>
  <c r="F57" i="4"/>
  <c r="F75" i="4"/>
  <c r="F81" i="4"/>
  <c r="H87" i="4"/>
  <c r="E94" i="4"/>
  <c r="I74" i="4"/>
  <c r="H74" i="4"/>
  <c r="G74" i="4"/>
  <c r="I2" i="4"/>
  <c r="G2" i="4"/>
  <c r="F2" i="4"/>
  <c r="E2" i="4"/>
  <c r="D2" i="4"/>
  <c r="H2" i="4"/>
  <c r="B5" i="1"/>
  <c r="A5" i="1" l="1"/>
  <c r="B7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<sst xmlns="http://schemas.openxmlformats.org/spreadsheetml/2006/main" count="354" uniqueCount="257">
  <si>
    <t>BIN</t>
  </si>
  <si>
    <t>STK</t>
  </si>
  <si>
    <t>Template</t>
  </si>
  <si>
    <t>data__id</t>
  </si>
  <si>
    <t>data__name</t>
  </si>
  <si>
    <t>data__shortName</t>
  </si>
  <si>
    <t>data__bin</t>
  </si>
  <si>
    <t>data__logo</t>
  </si>
  <si>
    <t>data__short_name</t>
  </si>
  <si>
    <t>https://cdn.vietqr.io/img/ABB.png</t>
  </si>
  <si>
    <t>ABBANK</t>
  </si>
  <si>
    <t>Ngân hàng TMCP Á Châu</t>
  </si>
  <si>
    <t>https://cdn.vietqr.io/img/ACB.png</t>
  </si>
  <si>
    <t>ACB</t>
  </si>
  <si>
    <t>Ngân hàng TMCP Bắc Á</t>
  </si>
  <si>
    <t>https://cdn.vietqr.io/img/BAB.png</t>
  </si>
  <si>
    <t>BacABank</t>
  </si>
  <si>
    <t>Ngân hàng TMCP Đầu tư và Phát triển Việt Nam</t>
  </si>
  <si>
    <t>https://cdn.vietqr.io/img/BIDV.png</t>
  </si>
  <si>
    <t>BIDV</t>
  </si>
  <si>
    <t>Ngân hàng TMCP Bảo Việt</t>
  </si>
  <si>
    <t>https://cdn.vietqr.io/img/BVB.png</t>
  </si>
  <si>
    <t>BaoVietBank</t>
  </si>
  <si>
    <t>BdT8CDO</t>
  </si>
  <si>
    <t>Ngân hàng Thương mại TNHH MTV Xây dựng Việt Nam</t>
  </si>
  <si>
    <t>https://cdn.vietqr.io/img/CBB.png</t>
  </si>
  <si>
    <t>CBBank</t>
  </si>
  <si>
    <t>Ngân hàng TNHH MTV CIMB Việt Nam</t>
  </si>
  <si>
    <t>https://cdn.vietqr.io/img/CIMB.png</t>
  </si>
  <si>
    <t>CIMB</t>
  </si>
  <si>
    <t>Ngân hàng TNHH MTV Số Vikki</t>
  </si>
  <si>
    <t>https://cdn.vietqr.io/img/Vikki.png</t>
  </si>
  <si>
    <t>Vikki</t>
  </si>
  <si>
    <t>Ngân hàng Thương mại TNHH MTV Dầu Khí Toàn Cầu</t>
  </si>
  <si>
    <t>https://cdn.vietqr.io/img/GPB.png</t>
  </si>
  <si>
    <t>GPBank</t>
  </si>
  <si>
    <t>Ngân hàng TMCP Phát triển Thành phố Hồ Chí Minh</t>
  </si>
  <si>
    <t>https://cdn.vietqr.io/img/HDB.png</t>
  </si>
  <si>
    <t>HDBank</t>
  </si>
  <si>
    <t>Ngân hàng TNHH MTV Hong Leong Việt Nam</t>
  </si>
  <si>
    <t>https://cdn.vietqr.io/img/HLBVN.png</t>
  </si>
  <si>
    <t>HongLeong</t>
  </si>
  <si>
    <t>Ngân hàng TNHH MTV HSBC (Việt Nam)</t>
  </si>
  <si>
    <t>https://cdn.vietqr.io/img/HSBC.png</t>
  </si>
  <si>
    <t>HSBC</t>
  </si>
  <si>
    <t>Ngân hàng TMCP Công thương Việt Nam</t>
  </si>
  <si>
    <t>https://cdn.vietqr.io/img/ICB.png</t>
  </si>
  <si>
    <t>VietinBank</t>
  </si>
  <si>
    <t>Ngân hàng TMCP Kiên Long</t>
  </si>
  <si>
    <t>https://cdn.vietqr.io/img/KLB.png</t>
  </si>
  <si>
    <t>KienLongBank</t>
  </si>
  <si>
    <t>Ngân hàng TMCP Quân đội</t>
  </si>
  <si>
    <t>https://cdn.vietqr.io/img/MB.png</t>
  </si>
  <si>
    <t>MBBank</t>
  </si>
  <si>
    <t>Ngân hàng TMCP Hàng Hải Việt Nam</t>
  </si>
  <si>
    <t>https://cdn.vietqr.io/img/MSB.png</t>
  </si>
  <si>
    <t>MSB</t>
  </si>
  <si>
    <t>Ngân hàng TMCP Nam Á</t>
  </si>
  <si>
    <t>https://cdn.vietqr.io/img/NAB.png</t>
  </si>
  <si>
    <t>NamABank</t>
  </si>
  <si>
    <t>Ngân hàng TMCP Quốc Dân</t>
  </si>
  <si>
    <t>https://cdn.vietqr.io/img/NCB.png</t>
  </si>
  <si>
    <t>NCB</t>
  </si>
  <si>
    <t>Ngân hàng TMCP Phương Đông</t>
  </si>
  <si>
    <t>https://cdn.vietqr.io/img/OCB.png</t>
  </si>
  <si>
    <t>OCB</t>
  </si>
  <si>
    <t>Ngân hàng TNHH MTV Public Việt Nam</t>
  </si>
  <si>
    <t>https://cdn.vietqr.io/img/PBVN.png</t>
  </si>
  <si>
    <t>PublicBank</t>
  </si>
  <si>
    <t>Ngân hàng TMCP Đại Chúng Việt Nam</t>
  </si>
  <si>
    <t>https://cdn.vietqr.io/img/PVCB.png</t>
  </si>
  <si>
    <t>PVcomBank</t>
  </si>
  <si>
    <t>Ngân hàng TMCP Sài Gòn</t>
  </si>
  <si>
    <t>https://cdn.vietqr.io/img/SCB.png</t>
  </si>
  <si>
    <t>SCB</t>
  </si>
  <si>
    <t>Ngân hàng TNHH MTV Standard Chartered Bank Việt Nam</t>
  </si>
  <si>
    <t>https://cdn.vietqr.io/img/SCVN.png</t>
  </si>
  <si>
    <t>StandardChartered</t>
  </si>
  <si>
    <t>Ngân hàng TMCP Đông Nam Á</t>
  </si>
  <si>
    <t>https://cdn.vietqr.io/img/SEAB.png</t>
  </si>
  <si>
    <t>SeABank</t>
  </si>
  <si>
    <t>Ngân hàng TMCP Sài Gòn Công Thương</t>
  </si>
  <si>
    <t>https://cdn.vietqr.io/img/SGICB.png</t>
  </si>
  <si>
    <t>SaigonBank</t>
  </si>
  <si>
    <t>Ngân hàng TMCP Sài Gòn - Hà Nội</t>
  </si>
  <si>
    <t>https://cdn.vietqr.io/img/SHB.png</t>
  </si>
  <si>
    <t>SHB</t>
  </si>
  <si>
    <t>Ngân hàng TMCP Sài Gòn Thương Tín</t>
  </si>
  <si>
    <t>https://cdn.vietqr.io/img/STB.png</t>
  </si>
  <si>
    <t>Sacombank</t>
  </si>
  <si>
    <t>Ngân hàng TNHH MTV Shinhan Việt Nam</t>
  </si>
  <si>
    <t>https://cdn.vietqr.io/img/SHBVN.png</t>
  </si>
  <si>
    <t>ShinhanBank</t>
  </si>
  <si>
    <t>Ngân hàng TMCP Kỹ thương Việt Nam</t>
  </si>
  <si>
    <t>https://cdn.vietqr.io/img/TCB.png</t>
  </si>
  <si>
    <t>Techcombank</t>
  </si>
  <si>
    <t>Ngân hàng TMCP Tiên Phong</t>
  </si>
  <si>
    <t>https://cdn.vietqr.io/img/TPB.png</t>
  </si>
  <si>
    <t>TPBank</t>
  </si>
  <si>
    <t>Ngân hàng United Overseas - Chi nhánh TP. Hồ Chí Minh</t>
  </si>
  <si>
    <t>https://cdn.vietqr.io/img/UOB.png</t>
  </si>
  <si>
    <t>UnitedOverseas</t>
  </si>
  <si>
    <t>Ngân hàng TMCP Việt Á</t>
  </si>
  <si>
    <t>https://cdn.vietqr.io/img/VAB.png</t>
  </si>
  <si>
    <t>VietABank</t>
  </si>
  <si>
    <t>Ngân hàng Nông nghiệp và Phát triển Nông thôn Việt Nam</t>
  </si>
  <si>
    <t>https://cdn.vietqr.io/img/VBA.png</t>
  </si>
  <si>
    <t>Agribank</t>
  </si>
  <si>
    <t>Ngân hàng TMCP Ngoại Thương Việt Nam</t>
  </si>
  <si>
    <t>https://cdn.vietqr.io/img/VCB.png</t>
  </si>
  <si>
    <t>Vietcombank</t>
  </si>
  <si>
    <t>Ngân hàng TMCP Bản Việt</t>
  </si>
  <si>
    <t>https://cdn.vietqr.io/img/VCCB.png</t>
  </si>
  <si>
    <t>VietCapitalBank</t>
  </si>
  <si>
    <t>Ngân hàng TMCP Quốc tế Việt Nam</t>
  </si>
  <si>
    <t>https://cdn.vietqr.io/img/VIB.png</t>
  </si>
  <si>
    <t>VIB</t>
  </si>
  <si>
    <t>Ngân hàng TMCP Việt Nam Thương Tín</t>
  </si>
  <si>
    <t>https://cdn.vietqr.io/img/VIETBANK.png</t>
  </si>
  <si>
    <t>VietBank</t>
  </si>
  <si>
    <t>Ngân hàng TMCP Việt Nam Thịnh Vượng</t>
  </si>
  <si>
    <t>https://cdn.vietqr.io/img/VPB.png</t>
  </si>
  <si>
    <t>VPBank</t>
  </si>
  <si>
    <t>Ngân hàng Liên doanh Việt - Nga</t>
  </si>
  <si>
    <t>https://cdn.vietqr.io/img/VRB.png</t>
  </si>
  <si>
    <t>VRB</t>
  </si>
  <si>
    <t>Ngân hàng TNHH MTV Woori Việt Nam</t>
  </si>
  <si>
    <t>https://cdn.vietqr.io/img/WVN.png</t>
  </si>
  <si>
    <t>Woori</t>
  </si>
  <si>
    <t>Ngân hàng Kookmin - Chi nhánh Hà Nội</t>
  </si>
  <si>
    <t>https://cdn.vietqr.io/img/KBHN.png</t>
  </si>
  <si>
    <t>KookminHN</t>
  </si>
  <si>
    <t>Ngân hàng Kookmin - Chi nhánh Thành phố Hồ Chí Minh</t>
  </si>
  <si>
    <t>https://cdn.vietqr.io/img/KBHCM.png</t>
  </si>
  <si>
    <t>KookminHCM</t>
  </si>
  <si>
    <t>Ngân hàng Hợp tác xã Việt Nam</t>
  </si>
  <si>
    <t>https://cdn.vietqr.io/img/COOPBANK.png</t>
  </si>
  <si>
    <t>COOPBANK</t>
  </si>
  <si>
    <t>TMCP Việt Nam Thịnh Vượng - Ngân hàng số CAKE by VPBank</t>
  </si>
  <si>
    <t>https://cdn.vietqr.io/img/CAKE.png</t>
  </si>
  <si>
    <t>CAKE</t>
  </si>
  <si>
    <t>TMCP Việt Nam Thịnh Vượng - Ngân hàng số Ubank by VPBank</t>
  </si>
  <si>
    <t>https://cdn.vietqr.io/img/UBANK.png</t>
  </si>
  <si>
    <t>Ubank</t>
  </si>
  <si>
    <t>Ngân hàng Đại chúng TNHH Kasikornbank</t>
  </si>
  <si>
    <t>https://cdn.vietqr.io/img/KBANK.png</t>
  </si>
  <si>
    <t>KBank</t>
  </si>
  <si>
    <t>Ngân hàng số Timo by Ban Viet Bank (Timo by Ban Viet Bank)</t>
  </si>
  <si>
    <t>https://vietqr.net/portal-service/resources/icons/TIMO.png</t>
  </si>
  <si>
    <t>Timo</t>
  </si>
  <si>
    <t>Ngân hàng Citibank, N.A. - Chi nhánh Hà Nội</t>
  </si>
  <si>
    <t>https://cdn.vietqr.io/img/CITIBANK.png</t>
  </si>
  <si>
    <t>Citibank</t>
  </si>
  <si>
    <t>Ngân hàng TMCP Đại Chúng Việt Nam Ngân hàng số</t>
  </si>
  <si>
    <t>PVcomBank Pay</t>
  </si>
  <si>
    <t>CTCP Dịch Vụ Di Động Trực Tuyến</t>
  </si>
  <si>
    <t>https://cdn.vietqr.io/img/momo.png</t>
  </si>
  <si>
    <t>MoMo</t>
  </si>
  <si>
    <t>data__code</t>
  </si>
  <si>
    <t>Ngân hàng TMCP An Bình</t>
  </si>
  <si>
    <t>ABB</t>
  </si>
  <si>
    <t>BAB</t>
  </si>
  <si>
    <t>BVB</t>
  </si>
  <si>
    <t>CBB</t>
  </si>
  <si>
    <t>DBS Bank Ltd - Chi nhánh Thành phố Hồ Chí Minh</t>
  </si>
  <si>
    <t>DBS</t>
  </si>
  <si>
    <t>DBSBank</t>
  </si>
  <si>
    <t>https://cdn.vietqr.io/img/DBS.png</t>
  </si>
  <si>
    <t>Ngân hàng TMCP Xuất Nhập khẩu Việt Nam</t>
  </si>
  <si>
    <t>EIB</t>
  </si>
  <si>
    <t>Eximbank</t>
  </si>
  <si>
    <t>https://cdn.vietqr.io/img/EIB.png</t>
  </si>
  <si>
    <t>GPB</t>
  </si>
  <si>
    <t>HDB</t>
  </si>
  <si>
    <t>HLBVN</t>
  </si>
  <si>
    <t>Ngân hàng Công nghiệp Hàn Quốc - Chi nhánh Hà Nội</t>
  </si>
  <si>
    <t>IBK - HN</t>
  </si>
  <si>
    <t>IBKHN</t>
  </si>
  <si>
    <t>https://cdn.vietqr.io/img/IBK.png</t>
  </si>
  <si>
    <t>Ngân hàng Công nghiệp Hàn Quốc - Chi nhánh TP. Hồ Chí Minh</t>
  </si>
  <si>
    <t>IBK - HCM</t>
  </si>
  <si>
    <t>IBKHCM</t>
  </si>
  <si>
    <t>ICB</t>
  </si>
  <si>
    <t>Ngân hàng TNHH Indovina</t>
  </si>
  <si>
    <t>IVB</t>
  </si>
  <si>
    <t>IndovinaBank</t>
  </si>
  <si>
    <t>https://cdn.vietqr.io/img/IVB.png</t>
  </si>
  <si>
    <t>KLB</t>
  </si>
  <si>
    <t>Ngân hàng TMCP Lộc Phát Việt Nam</t>
  </si>
  <si>
    <t>LPB</t>
  </si>
  <si>
    <t>LPBank</t>
  </si>
  <si>
    <t>https://cdn.vietqr.io/img/LPB.png</t>
  </si>
  <si>
    <t>MB</t>
  </si>
  <si>
    <t>NAB</t>
  </si>
  <si>
    <t>Ngân hàng Nonghyup - Chi nhánh Hà Nội</t>
  </si>
  <si>
    <t>NHB HN</t>
  </si>
  <si>
    <t>Nonghyup</t>
  </si>
  <si>
    <t>https://cdn.vietqr.io/img/NHB.png</t>
  </si>
  <si>
    <t>Ngân hàng TNHH MTV Việt Nam Hiện Đại</t>
  </si>
  <si>
    <t>MBV</t>
  </si>
  <si>
    <t>https://cdn.vietqr.io/img/MBV.png</t>
  </si>
  <si>
    <t>PBVN</t>
  </si>
  <si>
    <t>Ngân hàng TMCP Thịnh vượng và Phát triển</t>
  </si>
  <si>
    <t>PGB</t>
  </si>
  <si>
    <t>PGBank</t>
  </si>
  <si>
    <t>https://cdn.vietqr.io/img/PGB.png</t>
  </si>
  <si>
    <t>PVCB</t>
  </si>
  <si>
    <t>SCVN</t>
  </si>
  <si>
    <t>SEAB</t>
  </si>
  <si>
    <t>SGICB</t>
  </si>
  <si>
    <t>STB</t>
  </si>
  <si>
    <t>SHBVN</t>
  </si>
  <si>
    <t>TCB</t>
  </si>
  <si>
    <t>TPB</t>
  </si>
  <si>
    <t>UOB</t>
  </si>
  <si>
    <t>VAB</t>
  </si>
  <si>
    <t>VBA</t>
  </si>
  <si>
    <t>VCB</t>
  </si>
  <si>
    <t>VCCB</t>
  </si>
  <si>
    <t>VIETBANK</t>
  </si>
  <si>
    <t>VPB</t>
  </si>
  <si>
    <t>WVN</t>
  </si>
  <si>
    <t>KBHN</t>
  </si>
  <si>
    <t>KBHCM</t>
  </si>
  <si>
    <t>VNPT Money</t>
  </si>
  <si>
    <t>VNPTMONEY</t>
  </si>
  <si>
    <t>VNPTMoney</t>
  </si>
  <si>
    <t>https://cdn.vietqr.io/img/VNPTMONEY.png</t>
  </si>
  <si>
    <t>Tổng Công ty Dịch vụ số Viettel - Chi nhánh tập đoàn công nghiệp viễn thông Quân Đội</t>
  </si>
  <si>
    <t>VTLMONEY</t>
  </si>
  <si>
    <t>ViettelMoney</t>
  </si>
  <si>
    <t>https://cdn.vietqr.io/img/VIETTELMONEY.png</t>
  </si>
  <si>
    <t>TIMO</t>
  </si>
  <si>
    <t>CITIBANK</t>
  </si>
  <si>
    <t>Ngân hàng KEB Hana – Chi nhánh Thành phố Hồ Chí Minh</t>
  </si>
  <si>
    <t>KEBHANAHCM</t>
  </si>
  <si>
    <t>KEBHanaHCM</t>
  </si>
  <si>
    <t>https://cdn.vietqr.io/img/KEBHANAHCM.png</t>
  </si>
  <si>
    <t>Ngân hàng KEB Hana – Chi nhánh Hà Nội</t>
  </si>
  <si>
    <t>KEBHANAHN</t>
  </si>
  <si>
    <t>https://cdn.vietqr.io/img/KEBHANAHN.png</t>
  </si>
  <si>
    <t>Công ty Tài chính TNHH MTV Mirae Asset (Việt Nam)</t>
  </si>
  <si>
    <t>MAFC</t>
  </si>
  <si>
    <t>https://cdn.vietqr.io/img/MAFC.png</t>
  </si>
  <si>
    <t>Ngân hàng Chính sách Xã hội</t>
  </si>
  <si>
    <t>VBSP</t>
  </si>
  <si>
    <t>https://cdn.vietqr.io/img/VBSP.png</t>
  </si>
  <si>
    <t>PVDB</t>
  </si>
  <si>
    <t>momo</t>
  </si>
  <si>
    <t>list_name</t>
  </si>
  <si>
    <t>data_num</t>
  </si>
  <si>
    <t>TCB - 449</t>
  </si>
  <si>
    <t>Templa</t>
  </si>
  <si>
    <t>compact2</t>
  </si>
  <si>
    <t>compact</t>
  </si>
  <si>
    <t>print</t>
  </si>
  <si>
    <t>qr_only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</si>
</sst>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#,##0\ [$đ-42A]"/>
  </numFmts>
  <fonts count="15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20"/>
      <color theme="1"/>
      <name val="Calibri"/>
    </font>
    <font>
      <b/>
      <sz val="11"/>
      <color theme="1"/>
      <name val="Calibri"/>
    </font>
    <font>
      <u/>
      <sz val="18"/>
      <color rgb="FFFF0000"/>
      <name val="Calibri"/>
    </font>
    <font>
      <u/>
      <sz val="11"/>
      <color theme="0"/>
      <name val="Calibri"/>
    </font>
    <font>
      <u/>
      <sz val="18"/>
      <color theme="4"/>
      <name val="Calibri"/>
    </font>
    <font>
      <sz val="10"/>
      <color rgb="FF1C1E21"/>
      <name val="Nunito Sans"/>
    </font>
    <font>
      <sz val="18"/>
      <color theme="4"/>
      <name val="Calibri"/>
    </font>
    <font>
      <sz val="11"/>
      <color theme="1"/>
      <name val="Calibri"/>
    </font>
    <font>
      <sz val="11"/>
      <color rgb="FF000000"/>
      <name val="Calibri"/>
    </font>
    <font>
      <u/>
      <sz val="11"/>
      <color rgb="FF000000"/>
      <name val="Calibri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20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theme="0"/>
      </patternFill>
    </fill>
  </fills>
  <borders count="6"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2" fillId="0" borderId="1" xfId="0" applyFont="1" applyBorder="1" applyAlignment="1">
      <alignment horizontal="left" vertical="top"/>
    </xf>
    <xf numFmtId="0" fontId="2" fillId="0" borderId="0" xfId="0" applyFont="1"/>
    <xf numFmtId="0" fontId="3" fillId="0" borderId="0" xfId="0" applyFont="1" applyAlignment="1">
      <alignment horizontal="center" vertical="center"/>
    </xf>
    <xf numFmtId="0" fontId="2" fillId="0" borderId="3" xfId="0" applyFont="1" applyBorder="1"/>
    <xf numFmtId="0" fontId="2" fillId="0" borderId="4" xfId="0" applyFont="1" applyBorder="1" applyAlignment="1">
      <alignment horizontal="left"/>
    </xf>
    <xf numFmtId="0" fontId="4" fillId="0" borderId="3" xfId="0" applyFont="1" applyBorder="1"/>
    <xf numFmtId="0" fontId="5" fillId="2" borderId="5" xfId="0" applyFont="1" applyFill="1" applyBorder="1"/>
    <xf numFmtId="0" fontId="6" fillId="0" borderId="3" xfId="0" applyFont="1" applyBorder="1"/>
    <xf numFmtId="0" fontId="2" fillId="0" borderId="0" xfId="0" applyFont="1" applyAlignment="1">
      <alignment horizontal="left" vertical="top"/>
    </xf>
    <xf numFmtId="0" fontId="7" fillId="0" borderId="0" xfId="0" applyFont="1"/>
    <xf numFmtId="0" fontId="8" fillId="0" borderId="3" xfId="0" applyFont="1" applyBorder="1"/>
    <xf numFmtId="0" fontId="9" fillId="0" borderId="0" xfId="0" applyFont="1"/>
    <xf numFmtId="0" fontId="9" fillId="0" borderId="0" xfId="0" applyFont="1" applyAlignment="1">
      <alignment horizontal="left"/>
    </xf>
    <xf numFmtId="0" fontId="10" fillId="0" borderId="0" xfId="0" applyFont="1"/>
    <xf numFmtId="0" fontId="11" fillId="0" borderId="0" xfId="0" applyFont="1"/>
    <xf numFmtId="0" fontId="9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14" fillId="0" borderId="2" xfId="0" applyNumberFormat="1" applyFont="1" applyBorder="1" applyAlignment="1">
      <alignment horizontal="left" vertical="top"/>
    </xf>
    <xf numFmtId="0" fontId="14" fillId="0" borderId="4" xfId="0" applyFont="1" applyBorder="1"/>
    <xf numFmtId="0" fontId="2" fillId="0" borderId="0" xfId="0" applyFont="1" applyAlignment="1">
      <alignment horizontal="center" vertical="top"/>
    </xf>
    <xf numFmtId="0" fontId="0" fillId="0" borderId="0" xfId="0"/>
    <xf numFmtId="0" fontId="1" fillId="0" borderId="0" xfId="0" applyFont="1"/>
  </cellXfs>
  <cellStyles count="1">
    <cellStyle name="Normal" xfId="0" builtinId="0"/>
  </cellStyles>
  <dxfs count="1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rgb="FF000000"/>
        <name val="Calibri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alignment horizontal="left" vertical="center" textRotation="0" wrapText="0" indent="0" justifyLastLine="0" shrinkToFit="0" readingOrder="0"/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>
    <tableStyle name="API-style" pivot="0" count="4" xr9:uid="{00000000-0011-0000-FFFF-FFFF00000000}">
      <tableStyleElement type="wholeTable" size="0" dxfId="18"/>
      <tableStyleElement type="headerRow" dxfId="17"/>
      <tableStyleElement type="firstRowStripe" dxfId="16"/>
      <tableStyleElement type="secondRowStripe" dxfId="15"/>
    </tableStyle>
    <tableStyle name="Trang tính1-style" pivot="0" count="4" xr9:uid="{00000000-0011-0000-FFFF-FFFF01000000}">
      <tableStyleElement type="wholeTable" size="0" dxfId="14"/>
      <tableStyleElement type="headerRow" dxfId="13"/>
      <tableStyleElement type="firstRowStripe" dxfId="12"/>
      <tableStyleElement type="secondRowStripe" dxfId="1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0/07/relationships/rdRichValueWebImage" Target="richData/rdRichValueWebImage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RichValueTypes" Target="richData/rdRichValueTypes.xml"/><Relationship Id="rId5" Type="http://schemas.openxmlformats.org/officeDocument/2006/relationships/styles" Target="styles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/Relationships>
</file>

<file path=xl/richData/_rels/rdRichValueWebImage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hyperlink" Target="https://img.vietqr.io/image/970407-44699999999-BdT8CDO.png?amount=25000" TargetMode="Externa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  <types>
    <type name="_webimage">
      <keyFlags>
        <key name="WebImageIdentifier">
          <flag name="ShowInCardView" value="0"/>
        </key>
      </keyFlags>
    </type>
  </types>
</rvTypesInfo>
</file>

<file path=xl/richData/rdRichValueWebImage.xml><?xml version="1.0" encoding="utf-8"?>
<webImagesSrd xmlns="http://schemas.microsoft.com/office/spreadsheetml/2020/richdatawebimage" xmlns:r="http://schemas.openxmlformats.org/officeDocument/2006/relationships">
  <webImageSrd>
    <address r:id="rId1"/>
    <blip r:id="rId2"/>
  </webImageSrd>
</webImagesSrd>
</file>

<file path=xl/richData/rdrichvalue.xml><?xml version="1.0" encoding="utf-8"?>
<rvData xmlns="http://schemas.microsoft.com/office/spreadsheetml/2017/richdata" count="1">
  <rv s="0">
    <v>0</v>
    <v>1</v>
    <v>0</v>
    <v>0</v>
  </rv>
</rvData>
</file>

<file path=xl/richData/rdrichvaluestructure.xml><?xml version="1.0" encoding="utf-8"?>
<rvStructures xmlns="http://schemas.microsoft.com/office/spreadsheetml/2017/richdata" count="1">
  <s t="_webimage">
    <k n="WebImageIdentifier" t="i"/>
    <k n="CalcOrigin" t="i"/>
    <k n="ComputedImage" t="b"/>
    <k n="ImageSizing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0749FA-984C-46C9-AAB8-7ABB595D4FB8}" name="Table1" displayName="Table1" ref="A1:I101" totalsRowShown="0" headerRowDxfId="10" dataDxfId="9">
  <autoFilter ref="A1:I101" xr:uid="{7F0749FA-984C-46C9-AAB8-7ABB595D4FB8}"/>
  <tableColumns count="9">
    <tableColumn id="1" xr3:uid="{F8D53C57-7078-4EF6-9C73-35B4D8C4988B}" name="data__id" dataDxfId="8"/>
    <tableColumn id="2" xr3:uid="{390DCB3F-4D6D-4198-B590-711049680796}" name="list_name" dataDxfId="7"/>
    <tableColumn id="10" xr3:uid="{576DFB3C-BE82-459C-804A-245AC638C8B8}" name="data_num" dataDxfId="6"/>
    <tableColumn id="3" xr3:uid="{2B86B3E1-90A9-4410-87A1-76EA940DC021}" name="data__name" dataDxfId="5">
      <calculatedColumnFormula>IFERROR((VLOOKUP(A2,'API - io'!$A:$G,2,0)),"-")</calculatedColumnFormula>
    </tableColumn>
    <tableColumn id="4" xr3:uid="{D4B6D36E-F5B4-4050-84DA-B62E678E55BF}" name="data__code" dataDxfId="4">
      <calculatedColumnFormula>IFERROR((VLOOKUP(A2,'API - io'!$A:$G,3,0)),"-")</calculatedColumnFormula>
    </tableColumn>
    <tableColumn id="5" xr3:uid="{F102E323-9AC5-4420-B847-1C14F7757293}" name="data__bin" dataDxfId="3">
      <calculatedColumnFormula>IFERROR((VLOOKUP(A2,'API - io'!$A:$G,4,0)),"-")</calculatedColumnFormula>
    </tableColumn>
    <tableColumn id="6" xr3:uid="{DB8F4E18-D2FD-4EA2-B28D-DA53D8A12D89}" name="data__shortName" dataDxfId="2">
      <calculatedColumnFormula>IFERROR((VLOOKUP(A2,'API - io'!$A:$G,5,0)),"-")</calculatedColumnFormula>
    </tableColumn>
    <tableColumn id="7" xr3:uid="{EA429D0C-4231-435B-91FE-DAD0B13369DF}" name="data__logo" dataDxfId="1">
      <calculatedColumnFormula>IFERROR((VLOOKUP(A2,'API - io'!$A:$G,6,0)),"-")</calculatedColumnFormula>
    </tableColumn>
    <tableColumn id="8" xr3:uid="{BD47F35F-8B5D-4304-BED9-AA9B06C54ACA}" name="data__short_name" dataDxfId="0">
      <calculatedColumnFormula>IFERROR((VLOOKUP(A2,'API - io'!$A:$G,7,0)),"-")</calculatedColumnFormula>
    </tableColumn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bank.json" displayName="bank.json" ref="A1:H66">
  <autoFilter ref="A1:H66" xr:uid="{00000000-000C-0000-FFFF-FFFF01000000}"/>
  <sortState xmlns:xlrd2="http://schemas.microsoft.com/office/spreadsheetml/2017/richdata2" ref="A2:G66">
    <sortCondition ref="A1:A66"/>
  </sortState>
  <tableColumns count="8">
    <tableColumn id="1" xr3:uid="{00000000-0010-0000-0100-000001000000}" name="data__id"/>
    <tableColumn id="2" xr3:uid="{00000000-0010-0000-0100-000002000000}" name="data__name"/>
    <tableColumn id="3" xr3:uid="{00000000-0010-0000-0100-000003000000}" name="data__code"/>
    <tableColumn id="4" xr3:uid="{00000000-0010-0000-0100-000004000000}" name="data__bin"/>
    <tableColumn id="5" xr3:uid="{00000000-0010-0000-0100-000005000000}" name="data__shortName"/>
    <tableColumn id="6" xr3:uid="{00000000-0010-0000-0100-000006000000}" name="data__logo"/>
    <tableColumn id="7" xr3:uid="{00000000-0010-0000-0100-000007000000}" name="data__short_name"/>
    <tableColumn id="8" xr3:uid="{BB0EAC0D-1D01-407B-ADB1-06B77F9414FE}" name="Templa"/>
  </tableColumns>
  <tableStyleInfo name="Trang tính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cdn.vietqr.io/img/ABB.png" TargetMode="External"/><Relationship Id="rId21" Type="http://schemas.openxmlformats.org/officeDocument/2006/relationships/hyperlink" Target="https://cdn.vietqr.io/img/ABB.png" TargetMode="External"/><Relationship Id="rId42" Type="http://schemas.openxmlformats.org/officeDocument/2006/relationships/hyperlink" Target="https://cdn.vietqr.io/img/ABB.png" TargetMode="External"/><Relationship Id="rId47" Type="http://schemas.openxmlformats.org/officeDocument/2006/relationships/hyperlink" Target="https://cdn.vietqr.io/img/ABB.png" TargetMode="External"/><Relationship Id="rId63" Type="http://schemas.openxmlformats.org/officeDocument/2006/relationships/hyperlink" Target="https://cdn.vietqr.io/img/ABB.png" TargetMode="External"/><Relationship Id="rId68" Type="http://schemas.openxmlformats.org/officeDocument/2006/relationships/hyperlink" Target="https://cdn.vietqr.io/img/ABB.png" TargetMode="External"/><Relationship Id="rId84" Type="http://schemas.openxmlformats.org/officeDocument/2006/relationships/hyperlink" Target="https://cdn.vietqr.io/img/ABB.png" TargetMode="External"/><Relationship Id="rId89" Type="http://schemas.openxmlformats.org/officeDocument/2006/relationships/hyperlink" Target="https://cdn.vietqr.io/img/ABB.png" TargetMode="External"/><Relationship Id="rId16" Type="http://schemas.openxmlformats.org/officeDocument/2006/relationships/hyperlink" Target="https://cdn.vietqr.io/img/ABB.png" TargetMode="External"/><Relationship Id="rId11" Type="http://schemas.openxmlformats.org/officeDocument/2006/relationships/hyperlink" Target="https://cdn.vietqr.io/img/ABB.png" TargetMode="External"/><Relationship Id="rId32" Type="http://schemas.openxmlformats.org/officeDocument/2006/relationships/hyperlink" Target="https://cdn.vietqr.io/img/ABB.png" TargetMode="External"/><Relationship Id="rId37" Type="http://schemas.openxmlformats.org/officeDocument/2006/relationships/hyperlink" Target="https://cdn.vietqr.io/img/ABB.png" TargetMode="External"/><Relationship Id="rId53" Type="http://schemas.openxmlformats.org/officeDocument/2006/relationships/hyperlink" Target="https://cdn.vietqr.io/img/ABB.png" TargetMode="External"/><Relationship Id="rId58" Type="http://schemas.openxmlformats.org/officeDocument/2006/relationships/hyperlink" Target="https://cdn.vietqr.io/img/ABB.png" TargetMode="External"/><Relationship Id="rId74" Type="http://schemas.openxmlformats.org/officeDocument/2006/relationships/hyperlink" Target="https://cdn.vietqr.io/img/ABB.png" TargetMode="External"/><Relationship Id="rId79" Type="http://schemas.openxmlformats.org/officeDocument/2006/relationships/hyperlink" Target="https://cdn.vietqr.io/img/ABB.png" TargetMode="External"/><Relationship Id="rId5" Type="http://schemas.openxmlformats.org/officeDocument/2006/relationships/hyperlink" Target="https://cdn.vietqr.io/img/ABB.png" TargetMode="External"/><Relationship Id="rId90" Type="http://schemas.openxmlformats.org/officeDocument/2006/relationships/hyperlink" Target="https://cdn.vietqr.io/img/ABB.png" TargetMode="External"/><Relationship Id="rId95" Type="http://schemas.openxmlformats.org/officeDocument/2006/relationships/hyperlink" Target="https://cdn.vietqr.io/img/ABB.png" TargetMode="External"/><Relationship Id="rId22" Type="http://schemas.openxmlformats.org/officeDocument/2006/relationships/hyperlink" Target="https://cdn.vietqr.io/img/ABB.png" TargetMode="External"/><Relationship Id="rId27" Type="http://schemas.openxmlformats.org/officeDocument/2006/relationships/hyperlink" Target="https://cdn.vietqr.io/img/ABB.png" TargetMode="External"/><Relationship Id="rId43" Type="http://schemas.openxmlformats.org/officeDocument/2006/relationships/hyperlink" Target="https://cdn.vietqr.io/img/ABB.png" TargetMode="External"/><Relationship Id="rId48" Type="http://schemas.openxmlformats.org/officeDocument/2006/relationships/hyperlink" Target="https://cdn.vietqr.io/img/ABB.png" TargetMode="External"/><Relationship Id="rId64" Type="http://schemas.openxmlformats.org/officeDocument/2006/relationships/hyperlink" Target="https://cdn.vietqr.io/img/ABB.png" TargetMode="External"/><Relationship Id="rId69" Type="http://schemas.openxmlformats.org/officeDocument/2006/relationships/hyperlink" Target="https://cdn.vietqr.io/img/ABB.png" TargetMode="External"/><Relationship Id="rId80" Type="http://schemas.openxmlformats.org/officeDocument/2006/relationships/hyperlink" Target="https://cdn.vietqr.io/img/ABB.png" TargetMode="External"/><Relationship Id="rId85" Type="http://schemas.openxmlformats.org/officeDocument/2006/relationships/hyperlink" Target="https://cdn.vietqr.io/img/ABB.png" TargetMode="External"/><Relationship Id="rId12" Type="http://schemas.openxmlformats.org/officeDocument/2006/relationships/hyperlink" Target="https://cdn.vietqr.io/img/ABB.png" TargetMode="External"/><Relationship Id="rId17" Type="http://schemas.openxmlformats.org/officeDocument/2006/relationships/hyperlink" Target="https://cdn.vietqr.io/img/ABB.png" TargetMode="External"/><Relationship Id="rId25" Type="http://schemas.openxmlformats.org/officeDocument/2006/relationships/hyperlink" Target="https://cdn.vietqr.io/img/ABB.png" TargetMode="External"/><Relationship Id="rId33" Type="http://schemas.openxmlformats.org/officeDocument/2006/relationships/hyperlink" Target="https://cdn.vietqr.io/img/ABB.png" TargetMode="External"/><Relationship Id="rId38" Type="http://schemas.openxmlformats.org/officeDocument/2006/relationships/hyperlink" Target="https://cdn.vietqr.io/img/ABB.png" TargetMode="External"/><Relationship Id="rId46" Type="http://schemas.openxmlformats.org/officeDocument/2006/relationships/hyperlink" Target="https://cdn.vietqr.io/img/ABB.png" TargetMode="External"/><Relationship Id="rId59" Type="http://schemas.openxmlformats.org/officeDocument/2006/relationships/hyperlink" Target="https://cdn.vietqr.io/img/ABB.png" TargetMode="External"/><Relationship Id="rId67" Type="http://schemas.openxmlformats.org/officeDocument/2006/relationships/hyperlink" Target="https://cdn.vietqr.io/img/ABB.png" TargetMode="External"/><Relationship Id="rId20" Type="http://schemas.openxmlformats.org/officeDocument/2006/relationships/hyperlink" Target="https://cdn.vietqr.io/img/ABB.png" TargetMode="External"/><Relationship Id="rId41" Type="http://schemas.openxmlformats.org/officeDocument/2006/relationships/hyperlink" Target="https://cdn.vietqr.io/img/ABB.png" TargetMode="External"/><Relationship Id="rId54" Type="http://schemas.openxmlformats.org/officeDocument/2006/relationships/hyperlink" Target="https://cdn.vietqr.io/img/ABB.png" TargetMode="External"/><Relationship Id="rId62" Type="http://schemas.openxmlformats.org/officeDocument/2006/relationships/hyperlink" Target="https://cdn.vietqr.io/img/ABB.png" TargetMode="External"/><Relationship Id="rId70" Type="http://schemas.openxmlformats.org/officeDocument/2006/relationships/hyperlink" Target="https://cdn.vietqr.io/img/ABB.png" TargetMode="External"/><Relationship Id="rId75" Type="http://schemas.openxmlformats.org/officeDocument/2006/relationships/hyperlink" Target="https://cdn.vietqr.io/img/ABB.png" TargetMode="External"/><Relationship Id="rId83" Type="http://schemas.openxmlformats.org/officeDocument/2006/relationships/hyperlink" Target="https://cdn.vietqr.io/img/ABB.png" TargetMode="External"/><Relationship Id="rId88" Type="http://schemas.openxmlformats.org/officeDocument/2006/relationships/hyperlink" Target="https://cdn.vietqr.io/img/ABB.png" TargetMode="External"/><Relationship Id="rId91" Type="http://schemas.openxmlformats.org/officeDocument/2006/relationships/hyperlink" Target="https://cdn.vietqr.io/img/ABB.png" TargetMode="External"/><Relationship Id="rId96" Type="http://schemas.openxmlformats.org/officeDocument/2006/relationships/hyperlink" Target="https://cdn.vietqr.io/img/ABB.png" TargetMode="External"/><Relationship Id="rId1" Type="http://schemas.openxmlformats.org/officeDocument/2006/relationships/hyperlink" Target="https://cdn.vietqr.io/img/ABB.png" TargetMode="External"/><Relationship Id="rId6" Type="http://schemas.openxmlformats.org/officeDocument/2006/relationships/hyperlink" Target="https://cdn.vietqr.io/img/ABB.png" TargetMode="External"/><Relationship Id="rId15" Type="http://schemas.openxmlformats.org/officeDocument/2006/relationships/hyperlink" Target="https://cdn.vietqr.io/img/ABB.png" TargetMode="External"/><Relationship Id="rId23" Type="http://schemas.openxmlformats.org/officeDocument/2006/relationships/hyperlink" Target="https://cdn.vietqr.io/img/ABB.png" TargetMode="External"/><Relationship Id="rId28" Type="http://schemas.openxmlformats.org/officeDocument/2006/relationships/hyperlink" Target="https://cdn.vietqr.io/img/ABB.png" TargetMode="External"/><Relationship Id="rId36" Type="http://schemas.openxmlformats.org/officeDocument/2006/relationships/hyperlink" Target="https://cdn.vietqr.io/img/ABB.png" TargetMode="External"/><Relationship Id="rId49" Type="http://schemas.openxmlformats.org/officeDocument/2006/relationships/hyperlink" Target="https://cdn.vietqr.io/img/ABB.png" TargetMode="External"/><Relationship Id="rId57" Type="http://schemas.openxmlformats.org/officeDocument/2006/relationships/hyperlink" Target="https://cdn.vietqr.io/img/ABB.png" TargetMode="External"/><Relationship Id="rId10" Type="http://schemas.openxmlformats.org/officeDocument/2006/relationships/hyperlink" Target="https://cdn.vietqr.io/img/ABB.png" TargetMode="External"/><Relationship Id="rId31" Type="http://schemas.openxmlformats.org/officeDocument/2006/relationships/hyperlink" Target="https://cdn.vietqr.io/img/ABB.png" TargetMode="External"/><Relationship Id="rId44" Type="http://schemas.openxmlformats.org/officeDocument/2006/relationships/hyperlink" Target="https://cdn.vietqr.io/img/ABB.png" TargetMode="External"/><Relationship Id="rId52" Type="http://schemas.openxmlformats.org/officeDocument/2006/relationships/hyperlink" Target="https://cdn.vietqr.io/img/ABB.png" TargetMode="External"/><Relationship Id="rId60" Type="http://schemas.openxmlformats.org/officeDocument/2006/relationships/hyperlink" Target="https://cdn.vietqr.io/img/ABB.png" TargetMode="External"/><Relationship Id="rId65" Type="http://schemas.openxmlformats.org/officeDocument/2006/relationships/hyperlink" Target="https://cdn.vietqr.io/img/ABB.png" TargetMode="External"/><Relationship Id="rId73" Type="http://schemas.openxmlformats.org/officeDocument/2006/relationships/hyperlink" Target="https://cdn.vietqr.io/img/ABB.png" TargetMode="External"/><Relationship Id="rId78" Type="http://schemas.openxmlformats.org/officeDocument/2006/relationships/hyperlink" Target="https://cdn.vietqr.io/img/ABB.png" TargetMode="External"/><Relationship Id="rId81" Type="http://schemas.openxmlformats.org/officeDocument/2006/relationships/hyperlink" Target="https://cdn.vietqr.io/img/ABB.png" TargetMode="External"/><Relationship Id="rId86" Type="http://schemas.openxmlformats.org/officeDocument/2006/relationships/hyperlink" Target="https://cdn.vietqr.io/img/ABB.png" TargetMode="External"/><Relationship Id="rId94" Type="http://schemas.openxmlformats.org/officeDocument/2006/relationships/hyperlink" Target="https://cdn.vietqr.io/img/ABB.png" TargetMode="External"/><Relationship Id="rId99" Type="http://schemas.openxmlformats.org/officeDocument/2006/relationships/hyperlink" Target="https://cdn.vietqr.io/img/ABB.png" TargetMode="External"/><Relationship Id="rId101" Type="http://schemas.openxmlformats.org/officeDocument/2006/relationships/table" Target="../tables/table1.xml"/><Relationship Id="rId4" Type="http://schemas.openxmlformats.org/officeDocument/2006/relationships/hyperlink" Target="https://cdn.vietqr.io/img/ABB.png" TargetMode="External"/><Relationship Id="rId9" Type="http://schemas.openxmlformats.org/officeDocument/2006/relationships/hyperlink" Target="https://cdn.vietqr.io/img/ABB.png" TargetMode="External"/><Relationship Id="rId13" Type="http://schemas.openxmlformats.org/officeDocument/2006/relationships/hyperlink" Target="https://cdn.vietqr.io/img/ABB.png" TargetMode="External"/><Relationship Id="rId18" Type="http://schemas.openxmlformats.org/officeDocument/2006/relationships/hyperlink" Target="https://cdn.vietqr.io/img/ABB.png" TargetMode="External"/><Relationship Id="rId39" Type="http://schemas.openxmlformats.org/officeDocument/2006/relationships/hyperlink" Target="https://cdn.vietqr.io/img/ABB.png" TargetMode="External"/><Relationship Id="rId34" Type="http://schemas.openxmlformats.org/officeDocument/2006/relationships/hyperlink" Target="https://cdn.vietqr.io/img/ABB.png" TargetMode="External"/><Relationship Id="rId50" Type="http://schemas.openxmlformats.org/officeDocument/2006/relationships/hyperlink" Target="https://cdn.vietqr.io/img/ABB.png" TargetMode="External"/><Relationship Id="rId55" Type="http://schemas.openxmlformats.org/officeDocument/2006/relationships/hyperlink" Target="https://cdn.vietqr.io/img/ABB.png" TargetMode="External"/><Relationship Id="rId76" Type="http://schemas.openxmlformats.org/officeDocument/2006/relationships/hyperlink" Target="https://cdn.vietqr.io/img/ABB.png" TargetMode="External"/><Relationship Id="rId97" Type="http://schemas.openxmlformats.org/officeDocument/2006/relationships/hyperlink" Target="https://cdn.vietqr.io/img/ABB.png" TargetMode="External"/><Relationship Id="rId7" Type="http://schemas.openxmlformats.org/officeDocument/2006/relationships/hyperlink" Target="https://cdn.vietqr.io/img/ABB.png" TargetMode="External"/><Relationship Id="rId71" Type="http://schemas.openxmlformats.org/officeDocument/2006/relationships/hyperlink" Target="https://cdn.vietqr.io/img/ABB.png" TargetMode="External"/><Relationship Id="rId92" Type="http://schemas.openxmlformats.org/officeDocument/2006/relationships/hyperlink" Target="https://cdn.vietqr.io/img/ABB.png" TargetMode="External"/><Relationship Id="rId2" Type="http://schemas.openxmlformats.org/officeDocument/2006/relationships/hyperlink" Target="https://cdn.vietqr.io/img/ABB.png" TargetMode="External"/><Relationship Id="rId29" Type="http://schemas.openxmlformats.org/officeDocument/2006/relationships/hyperlink" Target="https://cdn.vietqr.io/img/ABB.png" TargetMode="External"/><Relationship Id="rId24" Type="http://schemas.openxmlformats.org/officeDocument/2006/relationships/hyperlink" Target="https://cdn.vietqr.io/img/ABB.png" TargetMode="External"/><Relationship Id="rId40" Type="http://schemas.openxmlformats.org/officeDocument/2006/relationships/hyperlink" Target="https://cdn.vietqr.io/img/ABB.png" TargetMode="External"/><Relationship Id="rId45" Type="http://schemas.openxmlformats.org/officeDocument/2006/relationships/hyperlink" Target="https://cdn.vietqr.io/img/ABB.png" TargetMode="External"/><Relationship Id="rId66" Type="http://schemas.openxmlformats.org/officeDocument/2006/relationships/hyperlink" Target="https://cdn.vietqr.io/img/ABB.png" TargetMode="External"/><Relationship Id="rId87" Type="http://schemas.openxmlformats.org/officeDocument/2006/relationships/hyperlink" Target="https://cdn.vietqr.io/img/ABB.png" TargetMode="External"/><Relationship Id="rId61" Type="http://schemas.openxmlformats.org/officeDocument/2006/relationships/hyperlink" Target="https://cdn.vietqr.io/img/ABB.png" TargetMode="External"/><Relationship Id="rId82" Type="http://schemas.openxmlformats.org/officeDocument/2006/relationships/hyperlink" Target="https://cdn.vietqr.io/img/ABB.png" TargetMode="External"/><Relationship Id="rId19" Type="http://schemas.openxmlformats.org/officeDocument/2006/relationships/hyperlink" Target="https://cdn.vietqr.io/img/ABB.png" TargetMode="External"/><Relationship Id="rId14" Type="http://schemas.openxmlformats.org/officeDocument/2006/relationships/hyperlink" Target="https://cdn.vietqr.io/img/ABB.png" TargetMode="External"/><Relationship Id="rId30" Type="http://schemas.openxmlformats.org/officeDocument/2006/relationships/hyperlink" Target="https://cdn.vietqr.io/img/ABB.png" TargetMode="External"/><Relationship Id="rId35" Type="http://schemas.openxmlformats.org/officeDocument/2006/relationships/hyperlink" Target="https://cdn.vietqr.io/img/ABB.png" TargetMode="External"/><Relationship Id="rId56" Type="http://schemas.openxmlformats.org/officeDocument/2006/relationships/hyperlink" Target="https://cdn.vietqr.io/img/ABB.png" TargetMode="External"/><Relationship Id="rId77" Type="http://schemas.openxmlformats.org/officeDocument/2006/relationships/hyperlink" Target="https://cdn.vietqr.io/img/ABB.png" TargetMode="External"/><Relationship Id="rId100" Type="http://schemas.openxmlformats.org/officeDocument/2006/relationships/hyperlink" Target="https://cdn.vietqr.io/img/ABB.png" TargetMode="External"/><Relationship Id="rId8" Type="http://schemas.openxmlformats.org/officeDocument/2006/relationships/hyperlink" Target="https://cdn.vietqr.io/img/ABB.png" TargetMode="External"/><Relationship Id="rId51" Type="http://schemas.openxmlformats.org/officeDocument/2006/relationships/hyperlink" Target="https://cdn.vietqr.io/img/ABB.png" TargetMode="External"/><Relationship Id="rId72" Type="http://schemas.openxmlformats.org/officeDocument/2006/relationships/hyperlink" Target="https://cdn.vietqr.io/img/ABB.png" TargetMode="External"/><Relationship Id="rId93" Type="http://schemas.openxmlformats.org/officeDocument/2006/relationships/hyperlink" Target="https://cdn.vietqr.io/img/ABB.png" TargetMode="External"/><Relationship Id="rId98" Type="http://schemas.openxmlformats.org/officeDocument/2006/relationships/hyperlink" Target="https://cdn.vietqr.io/img/ABB.png" TargetMode="External"/><Relationship Id="rId3" Type="http://schemas.openxmlformats.org/officeDocument/2006/relationships/hyperlink" Target="https://cdn.vietqr.io/img/ABB.png" TargetMode="Externa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cdn.vietqr.io/img/OCB.png" TargetMode="External"/><Relationship Id="rId21" Type="http://schemas.openxmlformats.org/officeDocument/2006/relationships/hyperlink" Target="https://cdn.vietqr.io/img/MB.png" TargetMode="External"/><Relationship Id="rId34" Type="http://schemas.openxmlformats.org/officeDocument/2006/relationships/hyperlink" Target="https://cdn.vietqr.io/img/SGICB.png" TargetMode="External"/><Relationship Id="rId42" Type="http://schemas.openxmlformats.org/officeDocument/2006/relationships/hyperlink" Target="https://cdn.vietqr.io/img/VBA.png" TargetMode="External"/><Relationship Id="rId47" Type="http://schemas.openxmlformats.org/officeDocument/2006/relationships/hyperlink" Target="https://cdn.vietqr.io/img/VPB.png" TargetMode="External"/><Relationship Id="rId50" Type="http://schemas.openxmlformats.org/officeDocument/2006/relationships/hyperlink" Target="https://cdn.vietqr.io/img/KBHN.png" TargetMode="External"/><Relationship Id="rId55" Type="http://schemas.openxmlformats.org/officeDocument/2006/relationships/hyperlink" Target="https://cdn.vietqr.io/img/KBANK.png" TargetMode="External"/><Relationship Id="rId63" Type="http://schemas.openxmlformats.org/officeDocument/2006/relationships/hyperlink" Target="https://cdn.vietqr.io/img/VBSP.png" TargetMode="External"/><Relationship Id="rId7" Type="http://schemas.openxmlformats.org/officeDocument/2006/relationships/hyperlink" Target="https://cdn.vietqr.io/img/CIMB.png" TargetMode="External"/><Relationship Id="rId2" Type="http://schemas.openxmlformats.org/officeDocument/2006/relationships/hyperlink" Target="https://cdn.vietqr.io/img/ACB.png" TargetMode="External"/><Relationship Id="rId16" Type="http://schemas.openxmlformats.org/officeDocument/2006/relationships/hyperlink" Target="https://cdn.vietqr.io/img/IBK.png" TargetMode="External"/><Relationship Id="rId29" Type="http://schemas.openxmlformats.org/officeDocument/2006/relationships/hyperlink" Target="https://cdn.vietqr.io/img/PGB.png" TargetMode="External"/><Relationship Id="rId11" Type="http://schemas.openxmlformats.org/officeDocument/2006/relationships/hyperlink" Target="https://cdn.vietqr.io/img/GPB.png" TargetMode="External"/><Relationship Id="rId24" Type="http://schemas.openxmlformats.org/officeDocument/2006/relationships/hyperlink" Target="https://cdn.vietqr.io/img/NCB.png" TargetMode="External"/><Relationship Id="rId32" Type="http://schemas.openxmlformats.org/officeDocument/2006/relationships/hyperlink" Target="https://cdn.vietqr.io/img/SCVN.png" TargetMode="External"/><Relationship Id="rId37" Type="http://schemas.openxmlformats.org/officeDocument/2006/relationships/hyperlink" Target="https://cdn.vietqr.io/img/SHBVN.png" TargetMode="External"/><Relationship Id="rId40" Type="http://schemas.openxmlformats.org/officeDocument/2006/relationships/hyperlink" Target="https://cdn.vietqr.io/img/UOB.png" TargetMode="External"/><Relationship Id="rId45" Type="http://schemas.openxmlformats.org/officeDocument/2006/relationships/hyperlink" Target="https://cdn.vietqr.io/img/VIB.png" TargetMode="External"/><Relationship Id="rId53" Type="http://schemas.openxmlformats.org/officeDocument/2006/relationships/hyperlink" Target="https://cdn.vietqr.io/img/CAKE.png" TargetMode="External"/><Relationship Id="rId58" Type="http://schemas.openxmlformats.org/officeDocument/2006/relationships/hyperlink" Target="https://vietqr.net/portal-service/resources/icons/TIMO.png" TargetMode="External"/><Relationship Id="rId66" Type="http://schemas.openxmlformats.org/officeDocument/2006/relationships/table" Target="../tables/table2.xml"/><Relationship Id="rId5" Type="http://schemas.openxmlformats.org/officeDocument/2006/relationships/hyperlink" Target="https://cdn.vietqr.io/img/BVB.png" TargetMode="External"/><Relationship Id="rId61" Type="http://schemas.openxmlformats.org/officeDocument/2006/relationships/hyperlink" Target="https://cdn.vietqr.io/img/KEBHANAHN.png" TargetMode="External"/><Relationship Id="rId19" Type="http://schemas.openxmlformats.org/officeDocument/2006/relationships/hyperlink" Target="https://cdn.vietqr.io/img/KLB.png" TargetMode="External"/><Relationship Id="rId14" Type="http://schemas.openxmlformats.org/officeDocument/2006/relationships/hyperlink" Target="https://cdn.vietqr.io/img/HSBC.png" TargetMode="External"/><Relationship Id="rId22" Type="http://schemas.openxmlformats.org/officeDocument/2006/relationships/hyperlink" Target="https://cdn.vietqr.io/img/MSB.png" TargetMode="External"/><Relationship Id="rId27" Type="http://schemas.openxmlformats.org/officeDocument/2006/relationships/hyperlink" Target="https://cdn.vietqr.io/img/MBV.png" TargetMode="External"/><Relationship Id="rId30" Type="http://schemas.openxmlformats.org/officeDocument/2006/relationships/hyperlink" Target="https://cdn.vietqr.io/img/PVCB.png" TargetMode="External"/><Relationship Id="rId35" Type="http://schemas.openxmlformats.org/officeDocument/2006/relationships/hyperlink" Target="https://cdn.vietqr.io/img/SHB.png" TargetMode="External"/><Relationship Id="rId43" Type="http://schemas.openxmlformats.org/officeDocument/2006/relationships/hyperlink" Target="https://cdn.vietqr.io/img/VCB.png" TargetMode="External"/><Relationship Id="rId48" Type="http://schemas.openxmlformats.org/officeDocument/2006/relationships/hyperlink" Target="https://cdn.vietqr.io/img/VRB.png" TargetMode="External"/><Relationship Id="rId56" Type="http://schemas.openxmlformats.org/officeDocument/2006/relationships/hyperlink" Target="https://cdn.vietqr.io/img/VNPTMONEY.png" TargetMode="External"/><Relationship Id="rId64" Type="http://schemas.openxmlformats.org/officeDocument/2006/relationships/hyperlink" Target="https://cdn.vietqr.io/img/PVCB.png" TargetMode="External"/><Relationship Id="rId8" Type="http://schemas.openxmlformats.org/officeDocument/2006/relationships/hyperlink" Target="https://cdn.vietqr.io/img/DBS.png" TargetMode="External"/><Relationship Id="rId51" Type="http://schemas.openxmlformats.org/officeDocument/2006/relationships/hyperlink" Target="https://cdn.vietqr.io/img/KBHCM.png" TargetMode="External"/><Relationship Id="rId3" Type="http://schemas.openxmlformats.org/officeDocument/2006/relationships/hyperlink" Target="https://cdn.vietqr.io/img/BAB.png" TargetMode="External"/><Relationship Id="rId12" Type="http://schemas.openxmlformats.org/officeDocument/2006/relationships/hyperlink" Target="https://cdn.vietqr.io/img/HDB.png" TargetMode="External"/><Relationship Id="rId17" Type="http://schemas.openxmlformats.org/officeDocument/2006/relationships/hyperlink" Target="https://cdn.vietqr.io/img/ICB.png" TargetMode="External"/><Relationship Id="rId25" Type="http://schemas.openxmlformats.org/officeDocument/2006/relationships/hyperlink" Target="https://cdn.vietqr.io/img/NHB.png" TargetMode="External"/><Relationship Id="rId33" Type="http://schemas.openxmlformats.org/officeDocument/2006/relationships/hyperlink" Target="https://cdn.vietqr.io/img/SEAB.png" TargetMode="External"/><Relationship Id="rId38" Type="http://schemas.openxmlformats.org/officeDocument/2006/relationships/hyperlink" Target="https://cdn.vietqr.io/img/TCB.png" TargetMode="External"/><Relationship Id="rId46" Type="http://schemas.openxmlformats.org/officeDocument/2006/relationships/hyperlink" Target="https://cdn.vietqr.io/img/VIETBANK.png" TargetMode="External"/><Relationship Id="rId59" Type="http://schemas.openxmlformats.org/officeDocument/2006/relationships/hyperlink" Target="https://cdn.vietqr.io/img/CITIBANK.png" TargetMode="External"/><Relationship Id="rId20" Type="http://schemas.openxmlformats.org/officeDocument/2006/relationships/hyperlink" Target="https://cdn.vietqr.io/img/LPB.png" TargetMode="External"/><Relationship Id="rId41" Type="http://schemas.openxmlformats.org/officeDocument/2006/relationships/hyperlink" Target="https://cdn.vietqr.io/img/VAB.png" TargetMode="External"/><Relationship Id="rId54" Type="http://schemas.openxmlformats.org/officeDocument/2006/relationships/hyperlink" Target="https://cdn.vietqr.io/img/UBANK.png" TargetMode="External"/><Relationship Id="rId62" Type="http://schemas.openxmlformats.org/officeDocument/2006/relationships/hyperlink" Target="https://cdn.vietqr.io/img/MAFC.png" TargetMode="External"/><Relationship Id="rId1" Type="http://schemas.openxmlformats.org/officeDocument/2006/relationships/hyperlink" Target="https://cdn.vietqr.io/img/ABB.png" TargetMode="External"/><Relationship Id="rId6" Type="http://schemas.openxmlformats.org/officeDocument/2006/relationships/hyperlink" Target="https://cdn.vietqr.io/img/CBB.png" TargetMode="External"/><Relationship Id="rId15" Type="http://schemas.openxmlformats.org/officeDocument/2006/relationships/hyperlink" Target="https://cdn.vietqr.io/img/IBK.png" TargetMode="External"/><Relationship Id="rId23" Type="http://schemas.openxmlformats.org/officeDocument/2006/relationships/hyperlink" Target="https://cdn.vietqr.io/img/NAB.png" TargetMode="External"/><Relationship Id="rId28" Type="http://schemas.openxmlformats.org/officeDocument/2006/relationships/hyperlink" Target="https://cdn.vietqr.io/img/PBVN.png" TargetMode="External"/><Relationship Id="rId36" Type="http://schemas.openxmlformats.org/officeDocument/2006/relationships/hyperlink" Target="https://cdn.vietqr.io/img/STB.png" TargetMode="External"/><Relationship Id="rId49" Type="http://schemas.openxmlformats.org/officeDocument/2006/relationships/hyperlink" Target="https://cdn.vietqr.io/img/WVN.png" TargetMode="External"/><Relationship Id="rId57" Type="http://schemas.openxmlformats.org/officeDocument/2006/relationships/hyperlink" Target="https://cdn.vietqr.io/img/VIETTELMONEY.png" TargetMode="External"/><Relationship Id="rId10" Type="http://schemas.openxmlformats.org/officeDocument/2006/relationships/hyperlink" Target="https://cdn.vietqr.io/img/EIB.png" TargetMode="External"/><Relationship Id="rId31" Type="http://schemas.openxmlformats.org/officeDocument/2006/relationships/hyperlink" Target="https://cdn.vietqr.io/img/SCB.png" TargetMode="External"/><Relationship Id="rId44" Type="http://schemas.openxmlformats.org/officeDocument/2006/relationships/hyperlink" Target="https://cdn.vietqr.io/img/VCCB.png" TargetMode="External"/><Relationship Id="rId52" Type="http://schemas.openxmlformats.org/officeDocument/2006/relationships/hyperlink" Target="https://cdn.vietqr.io/img/COOPBANK.png" TargetMode="External"/><Relationship Id="rId60" Type="http://schemas.openxmlformats.org/officeDocument/2006/relationships/hyperlink" Target="https://cdn.vietqr.io/img/KEBHANAHCM.png" TargetMode="External"/><Relationship Id="rId65" Type="http://schemas.openxmlformats.org/officeDocument/2006/relationships/hyperlink" Target="https://cdn.vietqr.io/img/momo.png" TargetMode="External"/><Relationship Id="rId4" Type="http://schemas.openxmlformats.org/officeDocument/2006/relationships/hyperlink" Target="https://cdn.vietqr.io/img/BIDV.png" TargetMode="External"/><Relationship Id="rId9" Type="http://schemas.openxmlformats.org/officeDocument/2006/relationships/hyperlink" Target="https://cdn.vietqr.io/img/Vikki.png" TargetMode="External"/><Relationship Id="rId13" Type="http://schemas.openxmlformats.org/officeDocument/2006/relationships/hyperlink" Target="https://cdn.vietqr.io/img/HLBVN.png" TargetMode="External"/><Relationship Id="rId18" Type="http://schemas.openxmlformats.org/officeDocument/2006/relationships/hyperlink" Target="https://cdn.vietqr.io/img/IVB.png" TargetMode="External"/><Relationship Id="rId39" Type="http://schemas.openxmlformats.org/officeDocument/2006/relationships/hyperlink" Target="https://cdn.vietqr.io/img/TPB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8"/>
  <sheetViews>
    <sheetView workbookViewId="0">
      <pane ySplit="1" topLeftCell="A5" activePane="bottomLeft" state="frozen"/>
      <selection pane="bottomLeft" activeCell="G1" sqref="G1"/>
    </sheetView>
  </sheetViews>
  <sheetFormatPr defaultColWidth="14.44140625" defaultRowHeight="15" customHeight="1" x14ac:dyDescent="0.3"/>
  <cols>
    <col min="1" max="1" width="35.33203125" customWidth="1"/>
    <col min="2" max="2" width="94.33203125" customWidth="1"/>
    <col min="3" max="5" width="8.88671875" customWidth="1"/>
    <col min="6" max="6" width="19.109375" customWidth="1"/>
    <col min="7" max="26" width="8.6640625" customWidth="1"/>
  </cols>
  <sheetData>
    <row r="1" spans="1:26" ht="25.5" customHeight="1" x14ac:dyDescent="0.5">
      <c r="A1" s="1" t="s">
        <v>251</v>
      </c>
      <c r="B1" s="23">
        <v>25000</v>
      </c>
      <c r="C1" s="2"/>
      <c r="D1" s="2"/>
      <c r="E1" s="3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25.5" hidden="1" customHeight="1" x14ac:dyDescent="0.5">
      <c r="A2" s="4" t="s">
        <v>0</v>
      </c>
      <c r="B2" s="5">
        <f>+VLOOKUP($A$1,List_bank!$B:$F,5,0)</f>
        <v>970407</v>
      </c>
      <c r="C2" s="2"/>
      <c r="D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25.5" hidden="1" customHeight="1" x14ac:dyDescent="0.5">
      <c r="A3" s="4" t="s">
        <v>1</v>
      </c>
      <c r="B3" s="5">
        <f>+VLOOKUP($A$1,List_bank!$B:$F,2,0)</f>
        <v>44699999999</v>
      </c>
      <c r="C3" s="2"/>
      <c r="D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25.5" hidden="1" customHeight="1" x14ac:dyDescent="0.5">
      <c r="A4" s="4" t="s">
        <v>2</v>
      </c>
      <c r="B4" s="24" t="s">
        <v>23</v>
      </c>
      <c r="C4" s="2"/>
      <c r="D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25.5" customHeight="1" x14ac:dyDescent="0.5">
      <c r="A5" s="6" t="str">
        <f>HYPERLINK(B5, "🔗 Link_qr")</f>
        <v>🔗 Link_qr</v>
      </c>
      <c r="B5" s="7" t="str">
        <f>"https://img.vietqr.io/image/"&amp;B2&amp;"-"&amp;B3&amp;"-"&amp;B4&amp;".png?amount="&amp;B1&amp;""</f>
        <v>https://img.vietqr.io/image/970407-44699999999-BdT8CDO.png?amount=25000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25.5" customHeight="1" x14ac:dyDescent="0.5">
      <c r="A6" s="8" t="str">
        <f>HYPERLINK("https://api.vietqr.io/v2/banks", "🔗 Viet_qr.io")</f>
        <v>🔗 Viet_qr.io</v>
      </c>
      <c r="B6" s="9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25.5" customHeight="1" x14ac:dyDescent="0.5">
      <c r="A7" s="8" t="str">
        <f>HYPERLINK("https://my.payos.vn/", "🔗 Pay_os")</f>
        <v>🔗 Pay_os</v>
      </c>
      <c r="B7" s="25" t="e" vm="1">
        <f>_xlfn.IMAGE(B5)</f>
        <v>#VALUE!</v>
      </c>
      <c r="C7" s="2"/>
      <c r="D7" s="2"/>
      <c r="E7" s="2"/>
      <c r="F7" s="10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25.5" customHeight="1" x14ac:dyDescent="0.5">
      <c r="A8" s="8" t="str">
        <f>HYPERLINK("https://my.vietqr.io/", "🔗 Template")</f>
        <v>🔗 Template</v>
      </c>
      <c r="B8" s="26"/>
      <c r="C8" s="2"/>
      <c r="D8" s="2"/>
      <c r="E8" s="2"/>
      <c r="F8" s="10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25.5" customHeight="1" x14ac:dyDescent="0.5">
      <c r="A9" s="11"/>
      <c r="B9" s="26"/>
      <c r="C9" s="2"/>
      <c r="D9" s="2"/>
      <c r="E9" s="2"/>
      <c r="F9" s="10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25.5" customHeight="1" x14ac:dyDescent="0.5">
      <c r="A10" s="2"/>
      <c r="B10" s="26"/>
      <c r="C10" s="2"/>
      <c r="D10" s="2"/>
      <c r="E10" s="2"/>
      <c r="F10" s="10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25.5" customHeight="1" x14ac:dyDescent="0.5">
      <c r="A11" s="2"/>
      <c r="B11" s="26"/>
      <c r="C11" s="2"/>
      <c r="D11" s="2"/>
      <c r="E11" s="2"/>
      <c r="F11" s="1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25.5" customHeight="1" x14ac:dyDescent="0.5">
      <c r="A12" s="2"/>
      <c r="B12" s="26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25.5" customHeight="1" x14ac:dyDescent="0.5">
      <c r="A13" s="2"/>
      <c r="B13" s="26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25.5" customHeight="1" x14ac:dyDescent="0.5">
      <c r="A14" s="2"/>
      <c r="B14" s="26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25.5" customHeight="1" x14ac:dyDescent="0.5">
      <c r="A15" s="2"/>
      <c r="B15" s="26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25.5" customHeight="1" x14ac:dyDescent="0.5">
      <c r="A16" s="2"/>
      <c r="B16" s="26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25.5" customHeight="1" x14ac:dyDescent="0.5">
      <c r="A17" s="2"/>
      <c r="B17" s="26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25.5" customHeight="1" x14ac:dyDescent="0.5">
      <c r="A18" s="2"/>
      <c r="B18" s="26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25.5" customHeight="1" x14ac:dyDescent="0.5">
      <c r="A19" s="2"/>
      <c r="B19" s="2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25.5" customHeight="1" x14ac:dyDescent="0.5">
      <c r="A20" s="2"/>
      <c r="B20" s="26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25.5" customHeight="1" x14ac:dyDescent="0.5">
      <c r="A21" s="2"/>
      <c r="B21" s="9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25.5" customHeight="1" x14ac:dyDescent="0.5">
      <c r="A22" s="2"/>
      <c r="B22" s="9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25.5" customHeight="1" x14ac:dyDescent="0.5">
      <c r="A23" s="2">
        <v>988910</v>
      </c>
      <c r="B23" s="9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25.5" customHeight="1" x14ac:dyDescent="0.5">
      <c r="A24" s="2">
        <v>414079</v>
      </c>
      <c r="B24" s="9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25.5" customHeight="1" x14ac:dyDescent="0.5">
      <c r="A25" s="2">
        <f>A23-A24</f>
        <v>574831</v>
      </c>
      <c r="B25" s="9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25.5" customHeight="1" x14ac:dyDescent="0.5">
      <c r="A26" s="2"/>
      <c r="B26" s="9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25.5" customHeight="1" x14ac:dyDescent="0.5">
      <c r="A27" s="2"/>
      <c r="B27" s="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25.5" customHeight="1" x14ac:dyDescent="0.5">
      <c r="A28" s="2"/>
      <c r="B28" s="9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25.5" customHeight="1" x14ac:dyDescent="0.5">
      <c r="A29" s="2"/>
      <c r="B29" s="9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25.5" customHeight="1" x14ac:dyDescent="0.5">
      <c r="A30" s="2"/>
      <c r="B30" s="9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25.5" customHeight="1" x14ac:dyDescent="0.5">
      <c r="A31" s="2"/>
      <c r="B31" s="9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25.5" customHeight="1" x14ac:dyDescent="0.5">
      <c r="A32" s="2"/>
      <c r="B32" s="9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25.5" customHeight="1" x14ac:dyDescent="0.5">
      <c r="A33" s="2"/>
      <c r="B33" s="9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25.5" customHeight="1" x14ac:dyDescent="0.5">
      <c r="A34" s="2"/>
      <c r="B34" s="9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25.5" customHeight="1" x14ac:dyDescent="0.5">
      <c r="A35" s="2"/>
      <c r="B35" s="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25.5" customHeight="1" x14ac:dyDescent="0.5">
      <c r="A36" s="2"/>
      <c r="B36" s="9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25.5" customHeight="1" x14ac:dyDescent="0.5">
      <c r="A37" s="2"/>
      <c r="B37" s="9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25.5" customHeight="1" x14ac:dyDescent="0.5">
      <c r="A38" s="2"/>
      <c r="B38" s="9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25.5" customHeight="1" x14ac:dyDescent="0.5">
      <c r="A39" s="2"/>
      <c r="B39" s="9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25.5" customHeight="1" x14ac:dyDescent="0.5">
      <c r="A40" s="2"/>
      <c r="B40" s="9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25.5" customHeight="1" x14ac:dyDescent="0.5">
      <c r="A41" s="2"/>
      <c r="B41" s="9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25.5" customHeight="1" x14ac:dyDescent="0.5">
      <c r="A42" s="2"/>
      <c r="B42" s="9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25.5" customHeight="1" x14ac:dyDescent="0.5">
      <c r="A43" s="2"/>
      <c r="B43" s="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25.5" customHeight="1" x14ac:dyDescent="0.5">
      <c r="A44" s="2"/>
      <c r="B44" s="9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25.5" customHeight="1" x14ac:dyDescent="0.5">
      <c r="A45" s="2"/>
      <c r="B45" s="9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25.5" customHeight="1" x14ac:dyDescent="0.5">
      <c r="A46" s="2"/>
      <c r="B46" s="9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25.5" customHeight="1" x14ac:dyDescent="0.5">
      <c r="A47" s="2"/>
      <c r="B47" s="9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25.5" customHeight="1" x14ac:dyDescent="0.5">
      <c r="A48" s="2"/>
      <c r="B48" s="9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25.5" customHeight="1" x14ac:dyDescent="0.5">
      <c r="A49" s="2"/>
      <c r="B49" s="9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25.5" customHeight="1" x14ac:dyDescent="0.5">
      <c r="A50" s="2"/>
      <c r="B50" s="9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25.5" customHeight="1" x14ac:dyDescent="0.5">
      <c r="A51" s="2"/>
      <c r="B51" s="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25.5" customHeight="1" x14ac:dyDescent="0.5">
      <c r="A52" s="2"/>
      <c r="B52" s="9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25.5" customHeight="1" x14ac:dyDescent="0.5">
      <c r="A53" s="2"/>
      <c r="B53" s="9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25.5" customHeight="1" x14ac:dyDescent="0.5">
      <c r="A54" s="2"/>
      <c r="B54" s="9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25.5" customHeight="1" x14ac:dyDescent="0.5">
      <c r="A55" s="2"/>
      <c r="B55" s="9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25.5" customHeight="1" x14ac:dyDescent="0.5">
      <c r="A56" s="2"/>
      <c r="B56" s="9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25.5" customHeight="1" x14ac:dyDescent="0.5">
      <c r="A57" s="2"/>
      <c r="B57" s="9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25.5" customHeight="1" x14ac:dyDescent="0.5">
      <c r="A58" s="2"/>
      <c r="B58" s="9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25.5" customHeight="1" x14ac:dyDescent="0.5">
      <c r="A59" s="2"/>
      <c r="B59" s="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25.5" customHeight="1" x14ac:dyDescent="0.5">
      <c r="A60" s="2"/>
      <c r="B60" s="9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25.5" customHeight="1" x14ac:dyDescent="0.5">
      <c r="A61" s="2"/>
      <c r="B61" s="9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25.5" customHeight="1" x14ac:dyDescent="0.5">
      <c r="A62" s="2"/>
      <c r="B62" s="9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25.5" customHeight="1" x14ac:dyDescent="0.5">
      <c r="A63" s="2"/>
      <c r="B63" s="9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25.5" customHeight="1" x14ac:dyDescent="0.5">
      <c r="A64" s="2"/>
      <c r="B64" s="9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25.5" customHeight="1" x14ac:dyDescent="0.5">
      <c r="A65" s="2"/>
      <c r="B65" s="9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25.5" customHeight="1" x14ac:dyDescent="0.5">
      <c r="A66" s="2"/>
      <c r="B66" s="9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25.5" customHeight="1" x14ac:dyDescent="0.5">
      <c r="A67" s="2"/>
      <c r="B67" s="9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25.5" customHeight="1" x14ac:dyDescent="0.5">
      <c r="A68" s="2"/>
      <c r="B68" s="9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25.5" customHeight="1" x14ac:dyDescent="0.5">
      <c r="A69" s="2"/>
      <c r="B69" s="9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25.5" customHeight="1" x14ac:dyDescent="0.5">
      <c r="A70" s="2"/>
      <c r="B70" s="9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25.5" customHeight="1" x14ac:dyDescent="0.5">
      <c r="A71" s="2"/>
      <c r="B71" s="9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25.5" customHeight="1" x14ac:dyDescent="0.5">
      <c r="A72" s="2"/>
      <c r="B72" s="9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25.5" customHeight="1" x14ac:dyDescent="0.5">
      <c r="A73" s="2"/>
      <c r="B73" s="9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25.5" customHeight="1" x14ac:dyDescent="0.5">
      <c r="A74" s="2"/>
      <c r="B74" s="9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25.5" customHeight="1" x14ac:dyDescent="0.5">
      <c r="A75" s="2"/>
      <c r="B75" s="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25.5" customHeight="1" x14ac:dyDescent="0.5">
      <c r="A76" s="2"/>
      <c r="B76" s="9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25.5" customHeight="1" x14ac:dyDescent="0.5">
      <c r="A77" s="2"/>
      <c r="B77" s="9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25.5" customHeight="1" x14ac:dyDescent="0.5">
      <c r="A78" s="2"/>
      <c r="B78" s="9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25.5" customHeight="1" x14ac:dyDescent="0.5">
      <c r="A79" s="2"/>
      <c r="B79" s="9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25.5" customHeight="1" x14ac:dyDescent="0.5">
      <c r="A80" s="2"/>
      <c r="B80" s="9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25.5" customHeight="1" x14ac:dyDescent="0.5">
      <c r="A81" s="2"/>
      <c r="B81" s="9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25.5" customHeight="1" x14ac:dyDescent="0.5">
      <c r="A82" s="2"/>
      <c r="B82" s="9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25.5" customHeight="1" x14ac:dyDescent="0.5">
      <c r="A83" s="2"/>
      <c r="B83" s="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25.5" customHeight="1" x14ac:dyDescent="0.5">
      <c r="A84" s="2"/>
      <c r="B84" s="9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25.5" customHeight="1" x14ac:dyDescent="0.5">
      <c r="A85" s="2"/>
      <c r="B85" s="9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25.5" customHeight="1" x14ac:dyDescent="0.5">
      <c r="A86" s="2"/>
      <c r="B86" s="9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25.5" customHeight="1" x14ac:dyDescent="0.5">
      <c r="A87" s="2"/>
      <c r="B87" s="9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25.5" customHeight="1" x14ac:dyDescent="0.5">
      <c r="A88" s="2"/>
      <c r="B88" s="9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25.5" customHeight="1" x14ac:dyDescent="0.5">
      <c r="A89" s="2"/>
      <c r="B89" s="9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25.5" customHeight="1" x14ac:dyDescent="0.5">
      <c r="A90" s="2"/>
      <c r="B90" s="9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25.5" customHeight="1" x14ac:dyDescent="0.5">
      <c r="A91" s="2"/>
      <c r="B91" s="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25.5" customHeight="1" x14ac:dyDescent="0.5">
      <c r="A92" s="2"/>
      <c r="B92" s="9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25.5" customHeight="1" x14ac:dyDescent="0.5">
      <c r="A93" s="2"/>
      <c r="B93" s="9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25.5" customHeight="1" x14ac:dyDescent="0.5">
      <c r="A94" s="2"/>
      <c r="B94" s="9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25.5" customHeight="1" x14ac:dyDescent="0.5">
      <c r="A95" s="2"/>
      <c r="B95" s="9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25.5" customHeight="1" x14ac:dyDescent="0.5">
      <c r="A96" s="2"/>
      <c r="B96" s="9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25.5" customHeight="1" x14ac:dyDescent="0.5">
      <c r="A97" s="2"/>
      <c r="B97" s="9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25.5" customHeight="1" x14ac:dyDescent="0.5">
      <c r="A98" s="2"/>
      <c r="B98" s="9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25.5" customHeight="1" x14ac:dyDescent="0.5">
      <c r="A99" s="2"/>
      <c r="B99" s="9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25.5" customHeight="1" x14ac:dyDescent="0.5">
      <c r="A100" s="2"/>
      <c r="B100" s="9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25.5" customHeight="1" x14ac:dyDescent="0.5">
      <c r="A101" s="2"/>
      <c r="B101" s="9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25.5" customHeight="1" x14ac:dyDescent="0.5">
      <c r="A102" s="2"/>
      <c r="B102" s="9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25.5" customHeight="1" x14ac:dyDescent="0.5">
      <c r="A103" s="2"/>
      <c r="B103" s="9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25.5" customHeight="1" x14ac:dyDescent="0.5">
      <c r="A104" s="2"/>
      <c r="B104" s="9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25.5" customHeight="1" x14ac:dyDescent="0.5">
      <c r="A105" s="2"/>
      <c r="B105" s="9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25.5" customHeight="1" x14ac:dyDescent="0.5">
      <c r="A106" s="2"/>
      <c r="B106" s="9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25.5" customHeight="1" x14ac:dyDescent="0.5">
      <c r="A107" s="2"/>
      <c r="B107" s="9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25.5" customHeight="1" x14ac:dyDescent="0.5">
      <c r="A108" s="2"/>
      <c r="B108" s="9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25.5" customHeight="1" x14ac:dyDescent="0.5">
      <c r="A109" s="2"/>
      <c r="B109" s="9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25.5" customHeight="1" x14ac:dyDescent="0.5">
      <c r="A110" s="2"/>
      <c r="B110" s="9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25.5" customHeight="1" x14ac:dyDescent="0.5">
      <c r="A111" s="2"/>
      <c r="B111" s="9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25.5" customHeight="1" x14ac:dyDescent="0.5">
      <c r="A112" s="2"/>
      <c r="B112" s="9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25.5" customHeight="1" x14ac:dyDescent="0.5">
      <c r="A113" s="2"/>
      <c r="B113" s="9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25.5" customHeight="1" x14ac:dyDescent="0.5">
      <c r="A114" s="2"/>
      <c r="B114" s="9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25.5" customHeight="1" x14ac:dyDescent="0.5">
      <c r="A115" s="2"/>
      <c r="B115" s="9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25.5" customHeight="1" x14ac:dyDescent="0.5">
      <c r="A116" s="2"/>
      <c r="B116" s="9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25.5" customHeight="1" x14ac:dyDescent="0.5">
      <c r="A117" s="2"/>
      <c r="B117" s="9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25.5" customHeight="1" x14ac:dyDescent="0.5">
      <c r="A118" s="2"/>
      <c r="B118" s="9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25.5" customHeight="1" x14ac:dyDescent="0.5">
      <c r="A119" s="2"/>
      <c r="B119" s="9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25.5" customHeight="1" x14ac:dyDescent="0.5">
      <c r="A120" s="2"/>
      <c r="B120" s="9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25.5" customHeight="1" x14ac:dyDescent="0.5">
      <c r="A121" s="2"/>
      <c r="B121" s="9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25.5" customHeight="1" x14ac:dyDescent="0.5">
      <c r="A122" s="2"/>
      <c r="B122" s="9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25.5" customHeight="1" x14ac:dyDescent="0.5">
      <c r="A123" s="2"/>
      <c r="B123" s="9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25.5" customHeight="1" x14ac:dyDescent="0.5">
      <c r="A124" s="2"/>
      <c r="B124" s="9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25.5" customHeight="1" x14ac:dyDescent="0.5">
      <c r="A125" s="2"/>
      <c r="B125" s="9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25.5" customHeight="1" x14ac:dyDescent="0.5">
      <c r="A126" s="2"/>
      <c r="B126" s="9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25.5" customHeight="1" x14ac:dyDescent="0.5">
      <c r="A127" s="2"/>
      <c r="B127" s="9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25.5" customHeight="1" x14ac:dyDescent="0.5">
      <c r="A128" s="2"/>
      <c r="B128" s="9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25.5" customHeight="1" x14ac:dyDescent="0.5">
      <c r="A129" s="2"/>
      <c r="B129" s="9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25.5" customHeight="1" x14ac:dyDescent="0.5">
      <c r="A130" s="2"/>
      <c r="B130" s="9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25.5" customHeight="1" x14ac:dyDescent="0.5">
      <c r="A131" s="2"/>
      <c r="B131" s="9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25.5" customHeight="1" x14ac:dyDescent="0.5">
      <c r="A132" s="2"/>
      <c r="B132" s="9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25.5" customHeight="1" x14ac:dyDescent="0.5">
      <c r="A133" s="2"/>
      <c r="B133" s="9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25.5" customHeight="1" x14ac:dyDescent="0.5">
      <c r="A134" s="2"/>
      <c r="B134" s="9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25.5" customHeight="1" x14ac:dyDescent="0.5">
      <c r="A135" s="2"/>
      <c r="B135" s="9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25.5" customHeight="1" x14ac:dyDescent="0.5">
      <c r="A136" s="2"/>
      <c r="B136" s="9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25.5" customHeight="1" x14ac:dyDescent="0.5">
      <c r="A137" s="2"/>
      <c r="B137" s="9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25.5" customHeight="1" x14ac:dyDescent="0.5">
      <c r="A138" s="2"/>
      <c r="B138" s="9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25.5" customHeight="1" x14ac:dyDescent="0.5">
      <c r="A139" s="2"/>
      <c r="B139" s="9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25.5" customHeight="1" x14ac:dyDescent="0.5">
      <c r="A140" s="2"/>
      <c r="B140" s="9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25.5" customHeight="1" x14ac:dyDescent="0.5">
      <c r="A141" s="2"/>
      <c r="B141" s="9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25.5" customHeight="1" x14ac:dyDescent="0.5">
      <c r="A142" s="2"/>
      <c r="B142" s="9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25.5" customHeight="1" x14ac:dyDescent="0.5">
      <c r="A143" s="2"/>
      <c r="B143" s="9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25.5" customHeight="1" x14ac:dyDescent="0.5">
      <c r="A144" s="2"/>
      <c r="B144" s="9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25.5" customHeight="1" x14ac:dyDescent="0.5">
      <c r="A145" s="2"/>
      <c r="B145" s="9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25.5" customHeight="1" x14ac:dyDescent="0.5">
      <c r="A146" s="2"/>
      <c r="B146" s="9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25.5" customHeight="1" x14ac:dyDescent="0.5">
      <c r="A147" s="2"/>
      <c r="B147" s="9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25.5" customHeight="1" x14ac:dyDescent="0.5">
      <c r="A148" s="2"/>
      <c r="B148" s="9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25.5" customHeight="1" x14ac:dyDescent="0.5">
      <c r="A149" s="2"/>
      <c r="B149" s="9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25.5" customHeight="1" x14ac:dyDescent="0.5">
      <c r="A150" s="2"/>
      <c r="B150" s="9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25.5" customHeight="1" x14ac:dyDescent="0.5">
      <c r="A151" s="2"/>
      <c r="B151" s="9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25.5" customHeight="1" x14ac:dyDescent="0.5">
      <c r="A152" s="2"/>
      <c r="B152" s="9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25.5" customHeight="1" x14ac:dyDescent="0.5">
      <c r="A153" s="2"/>
      <c r="B153" s="9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25.5" customHeight="1" x14ac:dyDescent="0.5">
      <c r="A154" s="2"/>
      <c r="B154" s="9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25.5" customHeight="1" x14ac:dyDescent="0.5">
      <c r="A155" s="2"/>
      <c r="B155" s="9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25.5" customHeight="1" x14ac:dyDescent="0.5">
      <c r="A156" s="2"/>
      <c r="B156" s="9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25.5" customHeight="1" x14ac:dyDescent="0.5">
      <c r="A157" s="2"/>
      <c r="B157" s="9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25.5" customHeight="1" x14ac:dyDescent="0.5">
      <c r="A158" s="2"/>
      <c r="B158" s="9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25.5" customHeight="1" x14ac:dyDescent="0.5">
      <c r="A159" s="2"/>
      <c r="B159" s="9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25.5" customHeight="1" x14ac:dyDescent="0.5">
      <c r="A160" s="2"/>
      <c r="B160" s="9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25.5" customHeight="1" x14ac:dyDescent="0.5">
      <c r="A161" s="2"/>
      <c r="B161" s="9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25.5" customHeight="1" x14ac:dyDescent="0.5">
      <c r="A162" s="2"/>
      <c r="B162" s="9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25.5" customHeight="1" x14ac:dyDescent="0.5">
      <c r="A163" s="2"/>
      <c r="B163" s="9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25.5" customHeight="1" x14ac:dyDescent="0.5">
      <c r="A164" s="2"/>
      <c r="B164" s="9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25.5" customHeight="1" x14ac:dyDescent="0.5">
      <c r="A165" s="2"/>
      <c r="B165" s="9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25.5" customHeight="1" x14ac:dyDescent="0.5">
      <c r="A166" s="2"/>
      <c r="B166" s="9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25.5" customHeight="1" x14ac:dyDescent="0.5">
      <c r="A167" s="2"/>
      <c r="B167" s="9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25.5" customHeight="1" x14ac:dyDescent="0.5">
      <c r="A168" s="2"/>
      <c r="B168" s="9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25.5" customHeight="1" x14ac:dyDescent="0.5">
      <c r="A169" s="2"/>
      <c r="B169" s="9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25.5" customHeight="1" x14ac:dyDescent="0.5">
      <c r="A170" s="2"/>
      <c r="B170" s="9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25.5" customHeight="1" x14ac:dyDescent="0.5">
      <c r="A171" s="2"/>
      <c r="B171" s="9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25.5" customHeight="1" x14ac:dyDescent="0.5">
      <c r="A172" s="2"/>
      <c r="B172" s="9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25.5" customHeight="1" x14ac:dyDescent="0.5">
      <c r="A173" s="2"/>
      <c r="B173" s="9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25.5" customHeight="1" x14ac:dyDescent="0.5">
      <c r="A174" s="2"/>
      <c r="B174" s="9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25.5" customHeight="1" x14ac:dyDescent="0.5">
      <c r="A175" s="2"/>
      <c r="B175" s="9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25.5" customHeight="1" x14ac:dyDescent="0.5">
      <c r="A176" s="2"/>
      <c r="B176" s="9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25.5" customHeight="1" x14ac:dyDescent="0.5">
      <c r="A177" s="2"/>
      <c r="B177" s="9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25.5" customHeight="1" x14ac:dyDescent="0.5">
      <c r="A178" s="2"/>
      <c r="B178" s="9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25.5" customHeight="1" x14ac:dyDescent="0.5">
      <c r="A179" s="2"/>
      <c r="B179" s="9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25.5" customHeight="1" x14ac:dyDescent="0.5">
      <c r="A180" s="2"/>
      <c r="B180" s="9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25.5" customHeight="1" x14ac:dyDescent="0.5">
      <c r="A181" s="2"/>
      <c r="B181" s="9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25.5" customHeight="1" x14ac:dyDescent="0.5">
      <c r="A182" s="2"/>
      <c r="B182" s="9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25.5" customHeight="1" x14ac:dyDescent="0.5">
      <c r="A183" s="2"/>
      <c r="B183" s="9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25.5" customHeight="1" x14ac:dyDescent="0.5">
      <c r="A184" s="2"/>
      <c r="B184" s="9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25.5" customHeight="1" x14ac:dyDescent="0.5">
      <c r="A185" s="2"/>
      <c r="B185" s="9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25.5" customHeight="1" x14ac:dyDescent="0.5">
      <c r="A186" s="2"/>
      <c r="B186" s="9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25.5" customHeight="1" x14ac:dyDescent="0.5">
      <c r="A187" s="2"/>
      <c r="B187" s="9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25.5" customHeight="1" x14ac:dyDescent="0.5">
      <c r="A188" s="2"/>
      <c r="B188" s="9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25.5" customHeight="1" x14ac:dyDescent="0.5">
      <c r="A189" s="2"/>
      <c r="B189" s="9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25.5" customHeight="1" x14ac:dyDescent="0.5">
      <c r="A190" s="2"/>
      <c r="B190" s="9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25.5" customHeight="1" x14ac:dyDescent="0.5">
      <c r="A191" s="2"/>
      <c r="B191" s="9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25.5" customHeight="1" x14ac:dyDescent="0.5">
      <c r="A192" s="2"/>
      <c r="B192" s="9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25.5" customHeight="1" x14ac:dyDescent="0.5">
      <c r="A193" s="2"/>
      <c r="B193" s="9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25.5" customHeight="1" x14ac:dyDescent="0.5">
      <c r="A194" s="2"/>
      <c r="B194" s="9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25.5" customHeight="1" x14ac:dyDescent="0.5">
      <c r="A195" s="2"/>
      <c r="B195" s="9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25.5" customHeight="1" x14ac:dyDescent="0.5">
      <c r="A196" s="2"/>
      <c r="B196" s="9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25.5" customHeight="1" x14ac:dyDescent="0.5">
      <c r="A197" s="2"/>
      <c r="B197" s="9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25.5" customHeight="1" x14ac:dyDescent="0.5">
      <c r="A198" s="2"/>
      <c r="B198" s="9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25.5" customHeight="1" x14ac:dyDescent="0.5">
      <c r="A199" s="2"/>
      <c r="B199" s="9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25.5" customHeight="1" x14ac:dyDescent="0.5">
      <c r="A200" s="2"/>
      <c r="B200" s="9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25.5" customHeight="1" x14ac:dyDescent="0.5">
      <c r="A201" s="2"/>
      <c r="B201" s="9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25.5" customHeight="1" x14ac:dyDescent="0.5">
      <c r="A202" s="2"/>
      <c r="B202" s="9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25.5" customHeight="1" x14ac:dyDescent="0.5">
      <c r="A203" s="2"/>
      <c r="B203" s="9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25.5" customHeight="1" x14ac:dyDescent="0.5">
      <c r="A204" s="2"/>
      <c r="B204" s="9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25.5" customHeight="1" x14ac:dyDescent="0.5">
      <c r="A205" s="2"/>
      <c r="B205" s="9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25.5" customHeight="1" x14ac:dyDescent="0.5">
      <c r="A206" s="2"/>
      <c r="B206" s="9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25.5" customHeight="1" x14ac:dyDescent="0.5">
      <c r="A207" s="2"/>
      <c r="B207" s="9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25.5" customHeight="1" x14ac:dyDescent="0.5">
      <c r="A208" s="2"/>
      <c r="B208" s="9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25.5" customHeight="1" x14ac:dyDescent="0.5">
      <c r="A209" s="2"/>
      <c r="B209" s="9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25.5" customHeight="1" x14ac:dyDescent="0.5">
      <c r="A210" s="2"/>
      <c r="B210" s="9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25.5" customHeight="1" x14ac:dyDescent="0.5">
      <c r="A211" s="2"/>
      <c r="B211" s="9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25.5" customHeight="1" x14ac:dyDescent="0.5">
      <c r="A212" s="2"/>
      <c r="B212" s="9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25.5" customHeight="1" x14ac:dyDescent="0.5">
      <c r="A213" s="2"/>
      <c r="B213" s="9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25.5" customHeight="1" x14ac:dyDescent="0.5">
      <c r="A214" s="2"/>
      <c r="B214" s="9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25.5" customHeight="1" x14ac:dyDescent="0.5">
      <c r="A215" s="2"/>
      <c r="B215" s="9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25.5" customHeight="1" x14ac:dyDescent="0.5">
      <c r="A216" s="2"/>
      <c r="B216" s="9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25.5" customHeight="1" x14ac:dyDescent="0.5">
      <c r="A217" s="2"/>
      <c r="B217" s="9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25.5" customHeight="1" x14ac:dyDescent="0.5">
      <c r="A218" s="2"/>
      <c r="B218" s="9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25.5" customHeight="1" x14ac:dyDescent="0.5">
      <c r="A219" s="2"/>
      <c r="B219" s="9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25.5" customHeight="1" x14ac:dyDescent="0.5">
      <c r="A220" s="2"/>
      <c r="B220" s="9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25.5" customHeight="1" x14ac:dyDescent="0.5">
      <c r="A221" s="2"/>
      <c r="B221" s="9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25.5" customHeight="1" x14ac:dyDescent="0.5">
      <c r="A222" s="2"/>
      <c r="B222" s="9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25.5" customHeight="1" x14ac:dyDescent="0.5">
      <c r="A223" s="2"/>
      <c r="B223" s="9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25.5" customHeight="1" x14ac:dyDescent="0.5">
      <c r="A224" s="2"/>
      <c r="B224" s="9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25.5" customHeight="1" x14ac:dyDescent="0.5">
      <c r="A225" s="2"/>
      <c r="B225" s="9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25.5" customHeight="1" x14ac:dyDescent="0.5">
      <c r="A226" s="2"/>
      <c r="B226" s="9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25.5" customHeight="1" x14ac:dyDescent="0.5">
      <c r="A227" s="2"/>
      <c r="B227" s="9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25.5" customHeight="1" x14ac:dyDescent="0.5">
      <c r="A228" s="2"/>
      <c r="B228" s="9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25.5" customHeight="1" x14ac:dyDescent="0.5">
      <c r="A229" s="2"/>
      <c r="B229" s="9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25.5" customHeight="1" x14ac:dyDescent="0.5">
      <c r="A230" s="2"/>
      <c r="B230" s="9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25.5" customHeight="1" x14ac:dyDescent="0.5">
      <c r="A231" s="2"/>
      <c r="B231" s="9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25.5" customHeight="1" x14ac:dyDescent="0.5">
      <c r="A232" s="2"/>
      <c r="B232" s="9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25.5" customHeight="1" x14ac:dyDescent="0.5">
      <c r="A233" s="2"/>
      <c r="B233" s="9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25.5" customHeight="1" x14ac:dyDescent="0.5">
      <c r="A234" s="2"/>
      <c r="B234" s="9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25.5" customHeight="1" x14ac:dyDescent="0.5">
      <c r="A235" s="2"/>
      <c r="B235" s="9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25.5" customHeight="1" x14ac:dyDescent="0.5">
      <c r="A236" s="2"/>
      <c r="B236" s="9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25.5" customHeight="1" x14ac:dyDescent="0.5">
      <c r="A237" s="2"/>
      <c r="B237" s="9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25.5" customHeight="1" x14ac:dyDescent="0.5">
      <c r="A238" s="2"/>
      <c r="B238" s="9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25.5" customHeight="1" x14ac:dyDescent="0.5">
      <c r="A239" s="2"/>
      <c r="B239" s="9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25.5" customHeight="1" x14ac:dyDescent="0.5">
      <c r="A240" s="2"/>
      <c r="B240" s="9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25.5" customHeight="1" x14ac:dyDescent="0.5">
      <c r="A241" s="2"/>
      <c r="B241" s="9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25.5" customHeight="1" x14ac:dyDescent="0.5">
      <c r="A242" s="2"/>
      <c r="B242" s="9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25.5" customHeight="1" x14ac:dyDescent="0.5">
      <c r="A243" s="2"/>
      <c r="B243" s="9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25.5" customHeight="1" x14ac:dyDescent="0.5">
      <c r="A244" s="2"/>
      <c r="B244" s="9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25.5" customHeight="1" x14ac:dyDescent="0.5">
      <c r="A245" s="2"/>
      <c r="B245" s="9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25.5" customHeight="1" x14ac:dyDescent="0.5">
      <c r="A246" s="2"/>
      <c r="B246" s="9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25.5" customHeight="1" x14ac:dyDescent="0.5">
      <c r="A247" s="2"/>
      <c r="B247" s="9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25.5" customHeight="1" x14ac:dyDescent="0.5">
      <c r="A248" s="2"/>
      <c r="B248" s="9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25.5" customHeight="1" x14ac:dyDescent="0.5">
      <c r="A249" s="2"/>
      <c r="B249" s="9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25.5" customHeight="1" x14ac:dyDescent="0.5">
      <c r="A250" s="2"/>
      <c r="B250" s="9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25.5" customHeight="1" x14ac:dyDescent="0.5">
      <c r="A251" s="2"/>
      <c r="B251" s="9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25.5" customHeight="1" x14ac:dyDescent="0.5">
      <c r="A252" s="2"/>
      <c r="B252" s="9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25.5" customHeight="1" x14ac:dyDescent="0.5">
      <c r="A253" s="2"/>
      <c r="B253" s="9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25.5" customHeight="1" x14ac:dyDescent="0.5">
      <c r="A254" s="2"/>
      <c r="B254" s="9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25.5" customHeight="1" x14ac:dyDescent="0.5">
      <c r="A255" s="2"/>
      <c r="B255" s="9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25.5" customHeight="1" x14ac:dyDescent="0.5">
      <c r="A256" s="2"/>
      <c r="B256" s="9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25.5" customHeight="1" x14ac:dyDescent="0.5">
      <c r="A257" s="2"/>
      <c r="B257" s="9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25.5" customHeight="1" x14ac:dyDescent="0.5">
      <c r="A258" s="2"/>
      <c r="B258" s="9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25.5" customHeight="1" x14ac:dyDescent="0.5">
      <c r="A259" s="2"/>
      <c r="B259" s="9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25.5" customHeight="1" x14ac:dyDescent="0.5">
      <c r="A260" s="2"/>
      <c r="B260" s="9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25.5" customHeight="1" x14ac:dyDescent="0.5">
      <c r="A261" s="2"/>
      <c r="B261" s="9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25.5" customHeight="1" x14ac:dyDescent="0.5">
      <c r="A262" s="2"/>
      <c r="B262" s="9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25.5" customHeight="1" x14ac:dyDescent="0.5">
      <c r="A263" s="2"/>
      <c r="B263" s="9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25.5" customHeight="1" x14ac:dyDescent="0.5">
      <c r="A264" s="2"/>
      <c r="B264" s="9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25.5" customHeight="1" x14ac:dyDescent="0.5">
      <c r="A265" s="2"/>
      <c r="B265" s="9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25.5" customHeight="1" x14ac:dyDescent="0.5">
      <c r="A266" s="2"/>
      <c r="B266" s="9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25.5" customHeight="1" x14ac:dyDescent="0.5">
      <c r="A267" s="2"/>
      <c r="B267" s="9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25.5" customHeight="1" x14ac:dyDescent="0.5">
      <c r="A268" s="2"/>
      <c r="B268" s="9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25.5" customHeight="1" x14ac:dyDescent="0.5">
      <c r="A269" s="2"/>
      <c r="B269" s="9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25.5" customHeight="1" x14ac:dyDescent="0.5">
      <c r="A270" s="2"/>
      <c r="B270" s="9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25.5" customHeight="1" x14ac:dyDescent="0.5">
      <c r="A271" s="2"/>
      <c r="B271" s="9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25.5" customHeight="1" x14ac:dyDescent="0.5">
      <c r="A272" s="2"/>
      <c r="B272" s="9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25.5" customHeight="1" x14ac:dyDescent="0.5">
      <c r="A273" s="2"/>
      <c r="B273" s="9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25.5" customHeight="1" x14ac:dyDescent="0.5">
      <c r="A274" s="2"/>
      <c r="B274" s="9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25.5" customHeight="1" x14ac:dyDescent="0.5">
      <c r="A275" s="2"/>
      <c r="B275" s="9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25.5" customHeight="1" x14ac:dyDescent="0.5">
      <c r="A276" s="2"/>
      <c r="B276" s="9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25.5" customHeight="1" x14ac:dyDescent="0.5">
      <c r="A277" s="2"/>
      <c r="B277" s="9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25.5" customHeight="1" x14ac:dyDescent="0.5">
      <c r="A278" s="2"/>
      <c r="B278" s="9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25.5" customHeight="1" x14ac:dyDescent="0.5">
      <c r="A279" s="2"/>
      <c r="B279" s="9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25.5" customHeight="1" x14ac:dyDescent="0.5">
      <c r="A280" s="2"/>
      <c r="B280" s="9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25.5" customHeight="1" x14ac:dyDescent="0.5">
      <c r="A281" s="2"/>
      <c r="B281" s="9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25.5" customHeight="1" x14ac:dyDescent="0.5">
      <c r="A282" s="2"/>
      <c r="B282" s="9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25.5" customHeight="1" x14ac:dyDescent="0.5">
      <c r="A283" s="2"/>
      <c r="B283" s="9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25.5" customHeight="1" x14ac:dyDescent="0.5">
      <c r="A284" s="2"/>
      <c r="B284" s="9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25.5" customHeight="1" x14ac:dyDescent="0.5">
      <c r="A285" s="2"/>
      <c r="B285" s="9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25.5" customHeight="1" x14ac:dyDescent="0.5">
      <c r="A286" s="2"/>
      <c r="B286" s="9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25.5" customHeight="1" x14ac:dyDescent="0.5">
      <c r="A287" s="2"/>
      <c r="B287" s="9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25.5" customHeight="1" x14ac:dyDescent="0.5">
      <c r="A288" s="2"/>
      <c r="B288" s="9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25.5" customHeight="1" x14ac:dyDescent="0.5">
      <c r="A289" s="2"/>
      <c r="B289" s="9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25.5" customHeight="1" x14ac:dyDescent="0.5">
      <c r="A290" s="2"/>
      <c r="B290" s="9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25.5" customHeight="1" x14ac:dyDescent="0.5">
      <c r="A291" s="2"/>
      <c r="B291" s="9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25.5" customHeight="1" x14ac:dyDescent="0.5">
      <c r="A292" s="2"/>
      <c r="B292" s="9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25.5" customHeight="1" x14ac:dyDescent="0.5">
      <c r="A293" s="2"/>
      <c r="B293" s="9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25.5" customHeight="1" x14ac:dyDescent="0.5">
      <c r="A294" s="2"/>
      <c r="B294" s="9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25.5" customHeight="1" x14ac:dyDescent="0.5">
      <c r="A295" s="2"/>
      <c r="B295" s="9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25.5" customHeight="1" x14ac:dyDescent="0.5">
      <c r="A296" s="2"/>
      <c r="B296" s="9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25.5" customHeight="1" x14ac:dyDescent="0.5">
      <c r="A297" s="2"/>
      <c r="B297" s="9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25.5" customHeight="1" x14ac:dyDescent="0.5">
      <c r="A298" s="2"/>
      <c r="B298" s="9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25.5" customHeight="1" x14ac:dyDescent="0.5">
      <c r="A299" s="2"/>
      <c r="B299" s="9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25.5" customHeight="1" x14ac:dyDescent="0.5">
      <c r="A300" s="2"/>
      <c r="B300" s="9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25.5" customHeight="1" x14ac:dyDescent="0.5">
      <c r="A301" s="2"/>
      <c r="B301" s="9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25.5" customHeight="1" x14ac:dyDescent="0.5">
      <c r="A302" s="2"/>
      <c r="B302" s="9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25.5" customHeight="1" x14ac:dyDescent="0.5">
      <c r="A303" s="2"/>
      <c r="B303" s="9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25.5" customHeight="1" x14ac:dyDescent="0.5">
      <c r="A304" s="2"/>
      <c r="B304" s="9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25.5" customHeight="1" x14ac:dyDescent="0.5">
      <c r="A305" s="2"/>
      <c r="B305" s="9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25.5" customHeight="1" x14ac:dyDescent="0.5">
      <c r="A306" s="2"/>
      <c r="B306" s="9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25.5" customHeight="1" x14ac:dyDescent="0.5">
      <c r="A307" s="2"/>
      <c r="B307" s="9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25.5" customHeight="1" x14ac:dyDescent="0.5">
      <c r="A308" s="2"/>
      <c r="B308" s="9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25.5" customHeight="1" x14ac:dyDescent="0.5">
      <c r="A309" s="2"/>
      <c r="B309" s="9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25.5" customHeight="1" x14ac:dyDescent="0.5">
      <c r="A310" s="2"/>
      <c r="B310" s="9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25.5" customHeight="1" x14ac:dyDescent="0.5">
      <c r="A311" s="2"/>
      <c r="B311" s="9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25.5" customHeight="1" x14ac:dyDescent="0.5">
      <c r="A312" s="2"/>
      <c r="B312" s="9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25.5" customHeight="1" x14ac:dyDescent="0.5">
      <c r="A313" s="2"/>
      <c r="B313" s="9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25.5" customHeight="1" x14ac:dyDescent="0.5">
      <c r="A314" s="2"/>
      <c r="B314" s="9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25.5" customHeight="1" x14ac:dyDescent="0.5">
      <c r="A315" s="2"/>
      <c r="B315" s="9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25.5" customHeight="1" x14ac:dyDescent="0.5">
      <c r="A316" s="2"/>
      <c r="B316" s="9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25.5" customHeight="1" x14ac:dyDescent="0.5">
      <c r="A317" s="2"/>
      <c r="B317" s="9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25.5" customHeight="1" x14ac:dyDescent="0.5">
      <c r="A318" s="2"/>
      <c r="B318" s="9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25.5" customHeight="1" x14ac:dyDescent="0.5">
      <c r="A319" s="2"/>
      <c r="B319" s="9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25.5" customHeight="1" x14ac:dyDescent="0.5">
      <c r="A320" s="2"/>
      <c r="B320" s="9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25.5" customHeight="1" x14ac:dyDescent="0.5">
      <c r="A321" s="2"/>
      <c r="B321" s="9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25.5" customHeight="1" x14ac:dyDescent="0.5">
      <c r="A322" s="2"/>
      <c r="B322" s="9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25.5" customHeight="1" x14ac:dyDescent="0.5">
      <c r="A323" s="2"/>
      <c r="B323" s="9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25.5" customHeight="1" x14ac:dyDescent="0.5">
      <c r="A324" s="2"/>
      <c r="B324" s="9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25.5" customHeight="1" x14ac:dyDescent="0.5">
      <c r="A325" s="2"/>
      <c r="B325" s="9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25.5" customHeight="1" x14ac:dyDescent="0.5">
      <c r="A326" s="2"/>
      <c r="B326" s="9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25.5" customHeight="1" x14ac:dyDescent="0.5">
      <c r="A327" s="2"/>
      <c r="B327" s="9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25.5" customHeight="1" x14ac:dyDescent="0.5">
      <c r="A328" s="2"/>
      <c r="B328" s="9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25.5" customHeight="1" x14ac:dyDescent="0.5">
      <c r="A329" s="2"/>
      <c r="B329" s="9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25.5" customHeight="1" x14ac:dyDescent="0.5">
      <c r="A330" s="2"/>
      <c r="B330" s="9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25.5" customHeight="1" x14ac:dyDescent="0.5">
      <c r="A331" s="2"/>
      <c r="B331" s="9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25.5" customHeight="1" x14ac:dyDescent="0.5">
      <c r="A332" s="2"/>
      <c r="B332" s="9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25.5" customHeight="1" x14ac:dyDescent="0.5">
      <c r="A333" s="2"/>
      <c r="B333" s="9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25.5" customHeight="1" x14ac:dyDescent="0.5">
      <c r="A334" s="2"/>
      <c r="B334" s="9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25.5" customHeight="1" x14ac:dyDescent="0.5">
      <c r="A335" s="2"/>
      <c r="B335" s="9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25.5" customHeight="1" x14ac:dyDescent="0.5">
      <c r="A336" s="2"/>
      <c r="B336" s="9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25.5" customHeight="1" x14ac:dyDescent="0.5">
      <c r="A337" s="2"/>
      <c r="B337" s="9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25.5" customHeight="1" x14ac:dyDescent="0.5">
      <c r="A338" s="2"/>
      <c r="B338" s="9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25.5" customHeight="1" x14ac:dyDescent="0.5">
      <c r="A339" s="2"/>
      <c r="B339" s="9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25.5" customHeight="1" x14ac:dyDescent="0.5">
      <c r="A340" s="2"/>
      <c r="B340" s="9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25.5" customHeight="1" x14ac:dyDescent="0.5">
      <c r="A341" s="2"/>
      <c r="B341" s="9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25.5" customHeight="1" x14ac:dyDescent="0.5">
      <c r="A342" s="2"/>
      <c r="B342" s="9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25.5" customHeight="1" x14ac:dyDescent="0.5">
      <c r="A343" s="2"/>
      <c r="B343" s="9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25.5" customHeight="1" x14ac:dyDescent="0.5">
      <c r="A344" s="2"/>
      <c r="B344" s="9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25.5" customHeight="1" x14ac:dyDescent="0.5">
      <c r="A345" s="2"/>
      <c r="B345" s="9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25.5" customHeight="1" x14ac:dyDescent="0.5">
      <c r="A346" s="2"/>
      <c r="B346" s="9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25.5" customHeight="1" x14ac:dyDescent="0.5">
      <c r="A347" s="2"/>
      <c r="B347" s="9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25.5" customHeight="1" x14ac:dyDescent="0.5">
      <c r="A348" s="2"/>
      <c r="B348" s="9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25.5" customHeight="1" x14ac:dyDescent="0.5">
      <c r="A349" s="2"/>
      <c r="B349" s="9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25.5" customHeight="1" x14ac:dyDescent="0.5">
      <c r="A350" s="2"/>
      <c r="B350" s="9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25.5" customHeight="1" x14ac:dyDescent="0.5">
      <c r="A351" s="2"/>
      <c r="B351" s="9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25.5" customHeight="1" x14ac:dyDescent="0.5">
      <c r="A352" s="2"/>
      <c r="B352" s="9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25.5" customHeight="1" x14ac:dyDescent="0.5">
      <c r="A353" s="2"/>
      <c r="B353" s="9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25.5" customHeight="1" x14ac:dyDescent="0.5">
      <c r="A354" s="2"/>
      <c r="B354" s="9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25.5" customHeight="1" x14ac:dyDescent="0.5">
      <c r="A355" s="2"/>
      <c r="B355" s="9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25.5" customHeight="1" x14ac:dyDescent="0.5">
      <c r="A356" s="2"/>
      <c r="B356" s="9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25.5" customHeight="1" x14ac:dyDescent="0.5">
      <c r="A357" s="2"/>
      <c r="B357" s="9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25.5" customHeight="1" x14ac:dyDescent="0.5">
      <c r="A358" s="2"/>
      <c r="B358" s="9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25.5" customHeight="1" x14ac:dyDescent="0.5">
      <c r="A359" s="2"/>
      <c r="B359" s="9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25.5" customHeight="1" x14ac:dyDescent="0.5">
      <c r="A360" s="2"/>
      <c r="B360" s="9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25.5" customHeight="1" x14ac:dyDescent="0.5">
      <c r="A361" s="2"/>
      <c r="B361" s="9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25.5" customHeight="1" x14ac:dyDescent="0.5">
      <c r="A362" s="2"/>
      <c r="B362" s="9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25.5" customHeight="1" x14ac:dyDescent="0.5">
      <c r="A363" s="2"/>
      <c r="B363" s="9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25.5" customHeight="1" x14ac:dyDescent="0.5">
      <c r="A364" s="2"/>
      <c r="B364" s="9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25.5" customHeight="1" x14ac:dyDescent="0.5">
      <c r="A365" s="2"/>
      <c r="B365" s="9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25.5" customHeight="1" x14ac:dyDescent="0.5">
      <c r="A366" s="2"/>
      <c r="B366" s="9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25.5" customHeight="1" x14ac:dyDescent="0.5">
      <c r="A367" s="2"/>
      <c r="B367" s="9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25.5" customHeight="1" x14ac:dyDescent="0.5">
      <c r="A368" s="2"/>
      <c r="B368" s="9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25.5" customHeight="1" x14ac:dyDescent="0.5">
      <c r="A369" s="2"/>
      <c r="B369" s="9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25.5" customHeight="1" x14ac:dyDescent="0.5">
      <c r="A370" s="2"/>
      <c r="B370" s="9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25.5" customHeight="1" x14ac:dyDescent="0.5">
      <c r="A371" s="2"/>
      <c r="B371" s="9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25.5" customHeight="1" x14ac:dyDescent="0.5">
      <c r="A372" s="2"/>
      <c r="B372" s="9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25.5" customHeight="1" x14ac:dyDescent="0.5">
      <c r="A373" s="2"/>
      <c r="B373" s="9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25.5" customHeight="1" x14ac:dyDescent="0.5">
      <c r="A374" s="2"/>
      <c r="B374" s="9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25.5" customHeight="1" x14ac:dyDescent="0.5">
      <c r="A375" s="2"/>
      <c r="B375" s="9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25.5" customHeight="1" x14ac:dyDescent="0.5">
      <c r="A376" s="2"/>
      <c r="B376" s="9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25.5" customHeight="1" x14ac:dyDescent="0.5">
      <c r="A377" s="2"/>
      <c r="B377" s="9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25.5" customHeight="1" x14ac:dyDescent="0.5">
      <c r="A378" s="2"/>
      <c r="B378" s="9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25.5" customHeight="1" x14ac:dyDescent="0.5">
      <c r="A379" s="2"/>
      <c r="B379" s="9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25.5" customHeight="1" x14ac:dyDescent="0.5">
      <c r="A380" s="2"/>
      <c r="B380" s="9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25.5" customHeight="1" x14ac:dyDescent="0.5">
      <c r="A381" s="2"/>
      <c r="B381" s="9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25.5" customHeight="1" x14ac:dyDescent="0.5">
      <c r="A382" s="2"/>
      <c r="B382" s="9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25.5" customHeight="1" x14ac:dyDescent="0.5">
      <c r="A383" s="2"/>
      <c r="B383" s="9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25.5" customHeight="1" x14ac:dyDescent="0.5">
      <c r="A384" s="2"/>
      <c r="B384" s="9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25.5" customHeight="1" x14ac:dyDescent="0.5">
      <c r="A385" s="2"/>
      <c r="B385" s="9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25.5" customHeight="1" x14ac:dyDescent="0.5">
      <c r="A386" s="2"/>
      <c r="B386" s="9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25.5" customHeight="1" x14ac:dyDescent="0.5">
      <c r="A387" s="2"/>
      <c r="B387" s="9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25.5" customHeight="1" x14ac:dyDescent="0.5">
      <c r="A388" s="2"/>
      <c r="B388" s="9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25.5" customHeight="1" x14ac:dyDescent="0.5">
      <c r="A389" s="2"/>
      <c r="B389" s="9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25.5" customHeight="1" x14ac:dyDescent="0.5">
      <c r="A390" s="2"/>
      <c r="B390" s="9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25.5" customHeight="1" x14ac:dyDescent="0.5">
      <c r="A391" s="2"/>
      <c r="B391" s="9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25.5" customHeight="1" x14ac:dyDescent="0.5">
      <c r="A392" s="2"/>
      <c r="B392" s="9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25.5" customHeight="1" x14ac:dyDescent="0.5">
      <c r="A393" s="2"/>
      <c r="B393" s="9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25.5" customHeight="1" x14ac:dyDescent="0.5">
      <c r="A394" s="2"/>
      <c r="B394" s="9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25.5" customHeight="1" x14ac:dyDescent="0.5">
      <c r="A395" s="2"/>
      <c r="B395" s="9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25.5" customHeight="1" x14ac:dyDescent="0.5">
      <c r="A396" s="2"/>
      <c r="B396" s="9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25.5" customHeight="1" x14ac:dyDescent="0.5">
      <c r="A397" s="2"/>
      <c r="B397" s="9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25.5" customHeight="1" x14ac:dyDescent="0.5">
      <c r="A398" s="2"/>
      <c r="B398" s="9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25.5" customHeight="1" x14ac:dyDescent="0.5">
      <c r="A399" s="2"/>
      <c r="B399" s="9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25.5" customHeight="1" x14ac:dyDescent="0.5">
      <c r="A400" s="2"/>
      <c r="B400" s="9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25.5" customHeight="1" x14ac:dyDescent="0.5">
      <c r="A401" s="2"/>
      <c r="B401" s="9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25.5" customHeight="1" x14ac:dyDescent="0.5">
      <c r="A402" s="2"/>
      <c r="B402" s="9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25.5" customHeight="1" x14ac:dyDescent="0.5">
      <c r="A403" s="2"/>
      <c r="B403" s="9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25.5" customHeight="1" x14ac:dyDescent="0.5">
      <c r="A404" s="2"/>
      <c r="B404" s="9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25.5" customHeight="1" x14ac:dyDescent="0.5">
      <c r="A405" s="2"/>
      <c r="B405" s="9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25.5" customHeight="1" x14ac:dyDescent="0.5">
      <c r="A406" s="2"/>
      <c r="B406" s="9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25.5" customHeight="1" x14ac:dyDescent="0.5">
      <c r="A407" s="2"/>
      <c r="B407" s="9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25.5" customHeight="1" x14ac:dyDescent="0.5">
      <c r="A408" s="2"/>
      <c r="B408" s="9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25.5" customHeight="1" x14ac:dyDescent="0.5">
      <c r="A409" s="2"/>
      <c r="B409" s="9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25.5" customHeight="1" x14ac:dyDescent="0.5">
      <c r="A410" s="2"/>
      <c r="B410" s="9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25.5" customHeight="1" x14ac:dyDescent="0.5">
      <c r="A411" s="2"/>
      <c r="B411" s="9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25.5" customHeight="1" x14ac:dyDescent="0.5">
      <c r="A412" s="2"/>
      <c r="B412" s="9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25.5" customHeight="1" x14ac:dyDescent="0.5">
      <c r="A413" s="2"/>
      <c r="B413" s="9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25.5" customHeight="1" x14ac:dyDescent="0.5">
      <c r="A414" s="2"/>
      <c r="B414" s="9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25.5" customHeight="1" x14ac:dyDescent="0.5">
      <c r="A415" s="2"/>
      <c r="B415" s="9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25.5" customHeight="1" x14ac:dyDescent="0.5">
      <c r="A416" s="2"/>
      <c r="B416" s="9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25.5" customHeight="1" x14ac:dyDescent="0.5">
      <c r="A417" s="2"/>
      <c r="B417" s="9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25.5" customHeight="1" x14ac:dyDescent="0.5">
      <c r="A418" s="2"/>
      <c r="B418" s="9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25.5" customHeight="1" x14ac:dyDescent="0.5">
      <c r="A419" s="2"/>
      <c r="B419" s="9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25.5" customHeight="1" x14ac:dyDescent="0.5">
      <c r="A420" s="2"/>
      <c r="B420" s="9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25.5" customHeight="1" x14ac:dyDescent="0.5">
      <c r="A421" s="2"/>
      <c r="B421" s="9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25.5" customHeight="1" x14ac:dyDescent="0.5">
      <c r="A422" s="2"/>
      <c r="B422" s="9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25.5" customHeight="1" x14ac:dyDescent="0.5">
      <c r="A423" s="2"/>
      <c r="B423" s="9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25.5" customHeight="1" x14ac:dyDescent="0.5">
      <c r="A424" s="2"/>
      <c r="B424" s="9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25.5" customHeight="1" x14ac:dyDescent="0.5">
      <c r="A425" s="2"/>
      <c r="B425" s="9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25.5" customHeight="1" x14ac:dyDescent="0.5">
      <c r="A426" s="2"/>
      <c r="B426" s="9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25.5" customHeight="1" x14ac:dyDescent="0.5">
      <c r="A427" s="2"/>
      <c r="B427" s="9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25.5" customHeight="1" x14ac:dyDescent="0.5">
      <c r="A428" s="2"/>
      <c r="B428" s="9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25.5" customHeight="1" x14ac:dyDescent="0.5">
      <c r="A429" s="2"/>
      <c r="B429" s="9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25.5" customHeight="1" x14ac:dyDescent="0.5">
      <c r="A430" s="2"/>
      <c r="B430" s="9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25.5" customHeight="1" x14ac:dyDescent="0.5">
      <c r="A431" s="2"/>
      <c r="B431" s="9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25.5" customHeight="1" x14ac:dyDescent="0.5">
      <c r="A432" s="2"/>
      <c r="B432" s="9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25.5" customHeight="1" x14ac:dyDescent="0.5">
      <c r="A433" s="2"/>
      <c r="B433" s="9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25.5" customHeight="1" x14ac:dyDescent="0.5">
      <c r="A434" s="2"/>
      <c r="B434" s="9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25.5" customHeight="1" x14ac:dyDescent="0.5">
      <c r="A435" s="2"/>
      <c r="B435" s="9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25.5" customHeight="1" x14ac:dyDescent="0.5">
      <c r="A436" s="2"/>
      <c r="B436" s="9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25.5" customHeight="1" x14ac:dyDescent="0.5">
      <c r="A437" s="2"/>
      <c r="B437" s="9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25.5" customHeight="1" x14ac:dyDescent="0.5">
      <c r="A438" s="2"/>
      <c r="B438" s="9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25.5" customHeight="1" x14ac:dyDescent="0.5">
      <c r="A439" s="2"/>
      <c r="B439" s="9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25.5" customHeight="1" x14ac:dyDescent="0.5">
      <c r="A440" s="2"/>
      <c r="B440" s="9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25.5" customHeight="1" x14ac:dyDescent="0.5">
      <c r="A441" s="2"/>
      <c r="B441" s="9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25.5" customHeight="1" x14ac:dyDescent="0.5">
      <c r="A442" s="2"/>
      <c r="B442" s="9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25.5" customHeight="1" x14ac:dyDescent="0.5">
      <c r="A443" s="2"/>
      <c r="B443" s="9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25.5" customHeight="1" x14ac:dyDescent="0.5">
      <c r="A444" s="2"/>
      <c r="B444" s="9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25.5" customHeight="1" x14ac:dyDescent="0.5">
      <c r="A445" s="2"/>
      <c r="B445" s="9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25.5" customHeight="1" x14ac:dyDescent="0.5">
      <c r="A446" s="2"/>
      <c r="B446" s="9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25.5" customHeight="1" x14ac:dyDescent="0.5">
      <c r="A447" s="2"/>
      <c r="B447" s="9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25.5" customHeight="1" x14ac:dyDescent="0.5">
      <c r="A448" s="2"/>
      <c r="B448" s="9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25.5" customHeight="1" x14ac:dyDescent="0.5">
      <c r="A449" s="2"/>
      <c r="B449" s="9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25.5" customHeight="1" x14ac:dyDescent="0.5">
      <c r="A450" s="2"/>
      <c r="B450" s="9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25.5" customHeight="1" x14ac:dyDescent="0.5">
      <c r="A451" s="2"/>
      <c r="B451" s="9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25.5" customHeight="1" x14ac:dyDescent="0.5">
      <c r="A452" s="2"/>
      <c r="B452" s="9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25.5" customHeight="1" x14ac:dyDescent="0.5">
      <c r="A453" s="2"/>
      <c r="B453" s="9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25.5" customHeight="1" x14ac:dyDescent="0.5">
      <c r="A454" s="2"/>
      <c r="B454" s="9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25.5" customHeight="1" x14ac:dyDescent="0.5">
      <c r="A455" s="2"/>
      <c r="B455" s="9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25.5" customHeight="1" x14ac:dyDescent="0.5">
      <c r="A456" s="2"/>
      <c r="B456" s="9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25.5" customHeight="1" x14ac:dyDescent="0.5">
      <c r="A457" s="2"/>
      <c r="B457" s="9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25.5" customHeight="1" x14ac:dyDescent="0.5">
      <c r="A458" s="2"/>
      <c r="B458" s="9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25.5" customHeight="1" x14ac:dyDescent="0.5">
      <c r="A459" s="2"/>
      <c r="B459" s="9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25.5" customHeight="1" x14ac:dyDescent="0.5">
      <c r="A460" s="2"/>
      <c r="B460" s="9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25.5" customHeight="1" x14ac:dyDescent="0.5">
      <c r="A461" s="2"/>
      <c r="B461" s="9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25.5" customHeight="1" x14ac:dyDescent="0.5">
      <c r="A462" s="2"/>
      <c r="B462" s="9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25.5" customHeight="1" x14ac:dyDescent="0.5">
      <c r="A463" s="2"/>
      <c r="B463" s="9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25.5" customHeight="1" x14ac:dyDescent="0.5">
      <c r="A464" s="2"/>
      <c r="B464" s="9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25.5" customHeight="1" x14ac:dyDescent="0.5">
      <c r="A465" s="2"/>
      <c r="B465" s="9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25.5" customHeight="1" x14ac:dyDescent="0.5">
      <c r="A466" s="2"/>
      <c r="B466" s="9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25.5" customHeight="1" x14ac:dyDescent="0.5">
      <c r="A467" s="2"/>
      <c r="B467" s="9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25.5" customHeight="1" x14ac:dyDescent="0.5">
      <c r="A468" s="2"/>
      <c r="B468" s="9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25.5" customHeight="1" x14ac:dyDescent="0.5">
      <c r="A469" s="2"/>
      <c r="B469" s="9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25.5" customHeight="1" x14ac:dyDescent="0.5">
      <c r="A470" s="2"/>
      <c r="B470" s="9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25.5" customHeight="1" x14ac:dyDescent="0.5">
      <c r="A471" s="2"/>
      <c r="B471" s="9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25.5" customHeight="1" x14ac:dyDescent="0.5">
      <c r="A472" s="2"/>
      <c r="B472" s="9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25.5" customHeight="1" x14ac:dyDescent="0.5">
      <c r="A473" s="2"/>
      <c r="B473" s="9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25.5" customHeight="1" x14ac:dyDescent="0.5">
      <c r="A474" s="2"/>
      <c r="B474" s="9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25.5" customHeight="1" x14ac:dyDescent="0.5">
      <c r="A475" s="2"/>
      <c r="B475" s="9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25.5" customHeight="1" x14ac:dyDescent="0.5">
      <c r="A476" s="2"/>
      <c r="B476" s="9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25.5" customHeight="1" x14ac:dyDescent="0.5">
      <c r="A477" s="2"/>
      <c r="B477" s="9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25.5" customHeight="1" x14ac:dyDescent="0.5">
      <c r="A478" s="2"/>
      <c r="B478" s="9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25.5" customHeight="1" x14ac:dyDescent="0.5">
      <c r="A479" s="2"/>
      <c r="B479" s="9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25.5" customHeight="1" x14ac:dyDescent="0.5">
      <c r="A480" s="2"/>
      <c r="B480" s="9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25.5" customHeight="1" x14ac:dyDescent="0.5">
      <c r="A481" s="2"/>
      <c r="B481" s="9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25.5" customHeight="1" x14ac:dyDescent="0.5">
      <c r="A482" s="2"/>
      <c r="B482" s="9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25.5" customHeight="1" x14ac:dyDescent="0.5">
      <c r="A483" s="2"/>
      <c r="B483" s="9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25.5" customHeight="1" x14ac:dyDescent="0.5">
      <c r="A484" s="2"/>
      <c r="B484" s="9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25.5" customHeight="1" x14ac:dyDescent="0.5">
      <c r="A485" s="2"/>
      <c r="B485" s="9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25.5" customHeight="1" x14ac:dyDescent="0.5">
      <c r="A486" s="2"/>
      <c r="B486" s="9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25.5" customHeight="1" x14ac:dyDescent="0.5">
      <c r="A487" s="2"/>
      <c r="B487" s="9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25.5" customHeight="1" x14ac:dyDescent="0.5">
      <c r="A488" s="2"/>
      <c r="B488" s="9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25.5" customHeight="1" x14ac:dyDescent="0.5">
      <c r="A489" s="2"/>
      <c r="B489" s="9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25.5" customHeight="1" x14ac:dyDescent="0.5">
      <c r="A490" s="2"/>
      <c r="B490" s="9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25.5" customHeight="1" x14ac:dyDescent="0.5">
      <c r="A491" s="2"/>
      <c r="B491" s="9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25.5" customHeight="1" x14ac:dyDescent="0.5">
      <c r="A492" s="2"/>
      <c r="B492" s="9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25.5" customHeight="1" x14ac:dyDescent="0.5">
      <c r="A493" s="2"/>
      <c r="B493" s="9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25.5" customHeight="1" x14ac:dyDescent="0.5">
      <c r="A494" s="2"/>
      <c r="B494" s="9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25.5" customHeight="1" x14ac:dyDescent="0.5">
      <c r="A495" s="2"/>
      <c r="B495" s="9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25.5" customHeight="1" x14ac:dyDescent="0.5">
      <c r="A496" s="2"/>
      <c r="B496" s="9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25.5" customHeight="1" x14ac:dyDescent="0.5">
      <c r="A497" s="2"/>
      <c r="B497" s="9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25.5" customHeight="1" x14ac:dyDescent="0.5">
      <c r="A498" s="2"/>
      <c r="B498" s="9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25.5" customHeight="1" x14ac:dyDescent="0.5">
      <c r="A499" s="2"/>
      <c r="B499" s="9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25.5" customHeight="1" x14ac:dyDescent="0.5">
      <c r="A500" s="2"/>
      <c r="B500" s="9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25.5" customHeight="1" x14ac:dyDescent="0.5">
      <c r="A501" s="2"/>
      <c r="B501" s="9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25.5" customHeight="1" x14ac:dyDescent="0.5">
      <c r="A502" s="2"/>
      <c r="B502" s="9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25.5" customHeight="1" x14ac:dyDescent="0.5">
      <c r="A503" s="2"/>
      <c r="B503" s="9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25.5" customHeight="1" x14ac:dyDescent="0.5">
      <c r="A504" s="2"/>
      <c r="B504" s="9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25.5" customHeight="1" x14ac:dyDescent="0.5">
      <c r="A505" s="2"/>
      <c r="B505" s="9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25.5" customHeight="1" x14ac:dyDescent="0.5">
      <c r="A506" s="2"/>
      <c r="B506" s="9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25.5" customHeight="1" x14ac:dyDescent="0.5">
      <c r="A507" s="2"/>
      <c r="B507" s="9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25.5" customHeight="1" x14ac:dyDescent="0.5">
      <c r="A508" s="2"/>
      <c r="B508" s="9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25.5" customHeight="1" x14ac:dyDescent="0.5">
      <c r="A509" s="2"/>
      <c r="B509" s="9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25.5" customHeight="1" x14ac:dyDescent="0.5">
      <c r="A510" s="2"/>
      <c r="B510" s="9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25.5" customHeight="1" x14ac:dyDescent="0.5">
      <c r="A511" s="2"/>
      <c r="B511" s="9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25.5" customHeight="1" x14ac:dyDescent="0.5">
      <c r="A512" s="2"/>
      <c r="B512" s="9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25.5" customHeight="1" x14ac:dyDescent="0.5">
      <c r="A513" s="2"/>
      <c r="B513" s="9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25.5" customHeight="1" x14ac:dyDescent="0.5">
      <c r="A514" s="2"/>
      <c r="B514" s="9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25.5" customHeight="1" x14ac:dyDescent="0.5">
      <c r="A515" s="2"/>
      <c r="B515" s="9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25.5" customHeight="1" x14ac:dyDescent="0.5">
      <c r="A516" s="2"/>
      <c r="B516" s="9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25.5" customHeight="1" x14ac:dyDescent="0.5">
      <c r="A517" s="2"/>
      <c r="B517" s="9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25.5" customHeight="1" x14ac:dyDescent="0.5">
      <c r="A518" s="2"/>
      <c r="B518" s="9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25.5" customHeight="1" x14ac:dyDescent="0.5">
      <c r="A519" s="2"/>
      <c r="B519" s="9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25.5" customHeight="1" x14ac:dyDescent="0.5">
      <c r="A520" s="2"/>
      <c r="B520" s="9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25.5" customHeight="1" x14ac:dyDescent="0.5">
      <c r="A521" s="2"/>
      <c r="B521" s="9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25.5" customHeight="1" x14ac:dyDescent="0.5">
      <c r="A522" s="2"/>
      <c r="B522" s="9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25.5" customHeight="1" x14ac:dyDescent="0.5">
      <c r="A523" s="2"/>
      <c r="B523" s="9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25.5" customHeight="1" x14ac:dyDescent="0.5">
      <c r="A524" s="2"/>
      <c r="B524" s="9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25.5" customHeight="1" x14ac:dyDescent="0.5">
      <c r="A525" s="2"/>
      <c r="B525" s="9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25.5" customHeight="1" x14ac:dyDescent="0.5">
      <c r="A526" s="2"/>
      <c r="B526" s="9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25.5" customHeight="1" x14ac:dyDescent="0.5">
      <c r="A527" s="2"/>
      <c r="B527" s="9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25.5" customHeight="1" x14ac:dyDescent="0.5">
      <c r="A528" s="2"/>
      <c r="B528" s="9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25.5" customHeight="1" x14ac:dyDescent="0.5">
      <c r="A529" s="2"/>
      <c r="B529" s="9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25.5" customHeight="1" x14ac:dyDescent="0.5">
      <c r="A530" s="2"/>
      <c r="B530" s="9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25.5" customHeight="1" x14ac:dyDescent="0.5">
      <c r="A531" s="2"/>
      <c r="B531" s="9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25.5" customHeight="1" x14ac:dyDescent="0.5">
      <c r="A532" s="2"/>
      <c r="B532" s="9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25.5" customHeight="1" x14ac:dyDescent="0.5">
      <c r="A533" s="2"/>
      <c r="B533" s="9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25.5" customHeight="1" x14ac:dyDescent="0.5">
      <c r="A534" s="2"/>
      <c r="B534" s="9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25.5" customHeight="1" x14ac:dyDescent="0.5">
      <c r="A535" s="2"/>
      <c r="B535" s="9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25.5" customHeight="1" x14ac:dyDescent="0.5">
      <c r="A536" s="2"/>
      <c r="B536" s="9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25.5" customHeight="1" x14ac:dyDescent="0.5">
      <c r="A537" s="2"/>
      <c r="B537" s="9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25.5" customHeight="1" x14ac:dyDescent="0.5">
      <c r="A538" s="2"/>
      <c r="B538" s="9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25.5" customHeight="1" x14ac:dyDescent="0.5">
      <c r="A539" s="2"/>
      <c r="B539" s="9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25.5" customHeight="1" x14ac:dyDescent="0.5">
      <c r="A540" s="2"/>
      <c r="B540" s="9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25.5" customHeight="1" x14ac:dyDescent="0.5">
      <c r="A541" s="2"/>
      <c r="B541" s="9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25.5" customHeight="1" x14ac:dyDescent="0.5">
      <c r="A542" s="2"/>
      <c r="B542" s="9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25.5" customHeight="1" x14ac:dyDescent="0.5">
      <c r="A543" s="2"/>
      <c r="B543" s="9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25.5" customHeight="1" x14ac:dyDescent="0.5">
      <c r="A544" s="2"/>
      <c r="B544" s="9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25.5" customHeight="1" x14ac:dyDescent="0.5">
      <c r="A545" s="2"/>
      <c r="B545" s="9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25.5" customHeight="1" x14ac:dyDescent="0.5">
      <c r="A546" s="2"/>
      <c r="B546" s="9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25.5" customHeight="1" x14ac:dyDescent="0.5">
      <c r="A547" s="2"/>
      <c r="B547" s="9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25.5" customHeight="1" x14ac:dyDescent="0.5">
      <c r="A548" s="2"/>
      <c r="B548" s="9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25.5" customHeight="1" x14ac:dyDescent="0.5">
      <c r="A549" s="2"/>
      <c r="B549" s="9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25.5" customHeight="1" x14ac:dyDescent="0.5">
      <c r="A550" s="2"/>
      <c r="B550" s="9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25.5" customHeight="1" x14ac:dyDescent="0.5">
      <c r="A551" s="2"/>
      <c r="B551" s="9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25.5" customHeight="1" x14ac:dyDescent="0.5">
      <c r="A552" s="2"/>
      <c r="B552" s="9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25.5" customHeight="1" x14ac:dyDescent="0.5">
      <c r="A553" s="2"/>
      <c r="B553" s="9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25.5" customHeight="1" x14ac:dyDescent="0.5">
      <c r="A554" s="2"/>
      <c r="B554" s="9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25.5" customHeight="1" x14ac:dyDescent="0.5">
      <c r="A555" s="2"/>
      <c r="B555" s="9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25.5" customHeight="1" x14ac:dyDescent="0.5">
      <c r="A556" s="2"/>
      <c r="B556" s="9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25.5" customHeight="1" x14ac:dyDescent="0.5">
      <c r="A557" s="2"/>
      <c r="B557" s="9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25.5" customHeight="1" x14ac:dyDescent="0.5">
      <c r="A558" s="2"/>
      <c r="B558" s="9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25.5" customHeight="1" x14ac:dyDescent="0.5">
      <c r="A559" s="2"/>
      <c r="B559" s="9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25.5" customHeight="1" x14ac:dyDescent="0.5">
      <c r="A560" s="2"/>
      <c r="B560" s="9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25.5" customHeight="1" x14ac:dyDescent="0.5">
      <c r="A561" s="2"/>
      <c r="B561" s="9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25.5" customHeight="1" x14ac:dyDescent="0.5">
      <c r="A562" s="2"/>
      <c r="B562" s="9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25.5" customHeight="1" x14ac:dyDescent="0.5">
      <c r="A563" s="2"/>
      <c r="B563" s="9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25.5" customHeight="1" x14ac:dyDescent="0.5">
      <c r="A564" s="2"/>
      <c r="B564" s="9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25.5" customHeight="1" x14ac:dyDescent="0.5">
      <c r="A565" s="2"/>
      <c r="B565" s="9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25.5" customHeight="1" x14ac:dyDescent="0.5">
      <c r="A566" s="2"/>
      <c r="B566" s="9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25.5" customHeight="1" x14ac:dyDescent="0.5">
      <c r="A567" s="2"/>
      <c r="B567" s="9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25.5" customHeight="1" x14ac:dyDescent="0.5">
      <c r="A568" s="2"/>
      <c r="B568" s="9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25.5" customHeight="1" x14ac:dyDescent="0.5">
      <c r="A569" s="2"/>
      <c r="B569" s="9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25.5" customHeight="1" x14ac:dyDescent="0.5">
      <c r="A570" s="2"/>
      <c r="B570" s="9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25.5" customHeight="1" x14ac:dyDescent="0.5">
      <c r="A571" s="2"/>
      <c r="B571" s="9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25.5" customHeight="1" x14ac:dyDescent="0.5">
      <c r="A572" s="2"/>
      <c r="B572" s="9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25.5" customHeight="1" x14ac:dyDescent="0.5">
      <c r="A573" s="2"/>
      <c r="B573" s="9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25.5" customHeight="1" x14ac:dyDescent="0.5">
      <c r="A574" s="2"/>
      <c r="B574" s="9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25.5" customHeight="1" x14ac:dyDescent="0.5">
      <c r="A575" s="2"/>
      <c r="B575" s="9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25.5" customHeight="1" x14ac:dyDescent="0.5">
      <c r="A576" s="2"/>
      <c r="B576" s="9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25.5" customHeight="1" x14ac:dyDescent="0.5">
      <c r="A577" s="2"/>
      <c r="B577" s="9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25.5" customHeight="1" x14ac:dyDescent="0.5">
      <c r="A578" s="2"/>
      <c r="B578" s="9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25.5" customHeight="1" x14ac:dyDescent="0.5">
      <c r="A579" s="2"/>
      <c r="B579" s="9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25.5" customHeight="1" x14ac:dyDescent="0.5">
      <c r="A580" s="2"/>
      <c r="B580" s="9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25.5" customHeight="1" x14ac:dyDescent="0.5">
      <c r="A581" s="2"/>
      <c r="B581" s="9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25.5" customHeight="1" x14ac:dyDescent="0.5">
      <c r="A582" s="2"/>
      <c r="B582" s="9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25.5" customHeight="1" x14ac:dyDescent="0.5">
      <c r="A583" s="2"/>
      <c r="B583" s="9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25.5" customHeight="1" x14ac:dyDescent="0.5">
      <c r="A584" s="2"/>
      <c r="B584" s="9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25.5" customHeight="1" x14ac:dyDescent="0.5">
      <c r="A585" s="2"/>
      <c r="B585" s="9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25.5" customHeight="1" x14ac:dyDescent="0.5">
      <c r="A586" s="2"/>
      <c r="B586" s="9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25.5" customHeight="1" x14ac:dyDescent="0.5">
      <c r="A587" s="2"/>
      <c r="B587" s="9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25.5" customHeight="1" x14ac:dyDescent="0.5">
      <c r="A588" s="2"/>
      <c r="B588" s="9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25.5" customHeight="1" x14ac:dyDescent="0.5">
      <c r="A589" s="2"/>
      <c r="B589" s="9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25.5" customHeight="1" x14ac:dyDescent="0.5">
      <c r="A590" s="2"/>
      <c r="B590" s="9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25.5" customHeight="1" x14ac:dyDescent="0.5">
      <c r="A591" s="2"/>
      <c r="B591" s="9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25.5" customHeight="1" x14ac:dyDescent="0.5">
      <c r="A592" s="2"/>
      <c r="B592" s="9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25.5" customHeight="1" x14ac:dyDescent="0.5">
      <c r="A593" s="2"/>
      <c r="B593" s="9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25.5" customHeight="1" x14ac:dyDescent="0.5">
      <c r="A594" s="2"/>
      <c r="B594" s="9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25.5" customHeight="1" x14ac:dyDescent="0.5">
      <c r="A595" s="2"/>
      <c r="B595" s="9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25.5" customHeight="1" x14ac:dyDescent="0.5">
      <c r="A596" s="2"/>
      <c r="B596" s="9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25.5" customHeight="1" x14ac:dyDescent="0.5">
      <c r="A597" s="2"/>
      <c r="B597" s="9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25.5" customHeight="1" x14ac:dyDescent="0.5">
      <c r="A598" s="2"/>
      <c r="B598" s="9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25.5" customHeight="1" x14ac:dyDescent="0.5">
      <c r="A599" s="2"/>
      <c r="B599" s="9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25.5" customHeight="1" x14ac:dyDescent="0.5">
      <c r="A600" s="2"/>
      <c r="B600" s="9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25.5" customHeight="1" x14ac:dyDescent="0.5">
      <c r="A601" s="2"/>
      <c r="B601" s="9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25.5" customHeight="1" x14ac:dyDescent="0.5">
      <c r="A602" s="2"/>
      <c r="B602" s="9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25.5" customHeight="1" x14ac:dyDescent="0.5">
      <c r="A603" s="2"/>
      <c r="B603" s="9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25.5" customHeight="1" x14ac:dyDescent="0.5">
      <c r="A604" s="2"/>
      <c r="B604" s="9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25.5" customHeight="1" x14ac:dyDescent="0.5">
      <c r="A605" s="2"/>
      <c r="B605" s="9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25.5" customHeight="1" x14ac:dyDescent="0.5">
      <c r="A606" s="2"/>
      <c r="B606" s="9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25.5" customHeight="1" x14ac:dyDescent="0.5">
      <c r="A607" s="2"/>
      <c r="B607" s="9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25.5" customHeight="1" x14ac:dyDescent="0.5">
      <c r="A608" s="2"/>
      <c r="B608" s="9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25.5" customHeight="1" x14ac:dyDescent="0.5">
      <c r="A609" s="2"/>
      <c r="B609" s="9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25.5" customHeight="1" x14ac:dyDescent="0.5">
      <c r="A610" s="2"/>
      <c r="B610" s="9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25.5" customHeight="1" x14ac:dyDescent="0.5">
      <c r="A611" s="2"/>
      <c r="B611" s="9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25.5" customHeight="1" x14ac:dyDescent="0.5">
      <c r="A612" s="2"/>
      <c r="B612" s="9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25.5" customHeight="1" x14ac:dyDescent="0.5">
      <c r="A613" s="2"/>
      <c r="B613" s="9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25.5" customHeight="1" x14ac:dyDescent="0.5">
      <c r="A614" s="2"/>
      <c r="B614" s="9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25.5" customHeight="1" x14ac:dyDescent="0.5">
      <c r="A615" s="2"/>
      <c r="B615" s="9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25.5" customHeight="1" x14ac:dyDescent="0.5">
      <c r="A616" s="2"/>
      <c r="B616" s="9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25.5" customHeight="1" x14ac:dyDescent="0.5">
      <c r="A617" s="2"/>
      <c r="B617" s="9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25.5" customHeight="1" x14ac:dyDescent="0.5">
      <c r="A618" s="2"/>
      <c r="B618" s="9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25.5" customHeight="1" x14ac:dyDescent="0.5">
      <c r="A619" s="2"/>
      <c r="B619" s="9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25.5" customHeight="1" x14ac:dyDescent="0.5">
      <c r="A620" s="2"/>
      <c r="B620" s="9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25.5" customHeight="1" x14ac:dyDescent="0.5">
      <c r="A621" s="2"/>
      <c r="B621" s="9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25.5" customHeight="1" x14ac:dyDescent="0.5">
      <c r="A622" s="2"/>
      <c r="B622" s="9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25.5" customHeight="1" x14ac:dyDescent="0.5">
      <c r="A623" s="2"/>
      <c r="B623" s="9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25.5" customHeight="1" x14ac:dyDescent="0.5">
      <c r="A624" s="2"/>
      <c r="B624" s="9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25.5" customHeight="1" x14ac:dyDescent="0.5">
      <c r="A625" s="2"/>
      <c r="B625" s="9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25.5" customHeight="1" x14ac:dyDescent="0.5">
      <c r="A626" s="2"/>
      <c r="B626" s="9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25.5" customHeight="1" x14ac:dyDescent="0.5">
      <c r="A627" s="2"/>
      <c r="B627" s="9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25.5" customHeight="1" x14ac:dyDescent="0.5">
      <c r="A628" s="2"/>
      <c r="B628" s="9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25.5" customHeight="1" x14ac:dyDescent="0.5">
      <c r="A629" s="2"/>
      <c r="B629" s="9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25.5" customHeight="1" x14ac:dyDescent="0.5">
      <c r="A630" s="2"/>
      <c r="B630" s="9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25.5" customHeight="1" x14ac:dyDescent="0.5">
      <c r="A631" s="2"/>
      <c r="B631" s="9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25.5" customHeight="1" x14ac:dyDescent="0.5">
      <c r="A632" s="2"/>
      <c r="B632" s="9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25.5" customHeight="1" x14ac:dyDescent="0.5">
      <c r="A633" s="2"/>
      <c r="B633" s="9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25.5" customHeight="1" x14ac:dyDescent="0.5">
      <c r="A634" s="2"/>
      <c r="B634" s="9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25.5" customHeight="1" x14ac:dyDescent="0.5">
      <c r="A635" s="2"/>
      <c r="B635" s="9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25.5" customHeight="1" x14ac:dyDescent="0.5">
      <c r="A636" s="2"/>
      <c r="B636" s="9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25.5" customHeight="1" x14ac:dyDescent="0.5">
      <c r="A637" s="2"/>
      <c r="B637" s="9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25.5" customHeight="1" x14ac:dyDescent="0.5">
      <c r="A638" s="2"/>
      <c r="B638" s="9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25.5" customHeight="1" x14ac:dyDescent="0.5">
      <c r="A639" s="2"/>
      <c r="B639" s="9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25.5" customHeight="1" x14ac:dyDescent="0.5">
      <c r="A640" s="2"/>
      <c r="B640" s="9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25.5" customHeight="1" x14ac:dyDescent="0.5">
      <c r="A641" s="2"/>
      <c r="B641" s="9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25.5" customHeight="1" x14ac:dyDescent="0.5">
      <c r="A642" s="2"/>
      <c r="B642" s="9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25.5" customHeight="1" x14ac:dyDescent="0.5">
      <c r="A643" s="2"/>
      <c r="B643" s="9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25.5" customHeight="1" x14ac:dyDescent="0.5">
      <c r="A644" s="2"/>
      <c r="B644" s="9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25.5" customHeight="1" x14ac:dyDescent="0.5">
      <c r="A645" s="2"/>
      <c r="B645" s="9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25.5" customHeight="1" x14ac:dyDescent="0.5">
      <c r="A646" s="2"/>
      <c r="B646" s="9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25.5" customHeight="1" x14ac:dyDescent="0.5">
      <c r="A647" s="2"/>
      <c r="B647" s="9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25.5" customHeight="1" x14ac:dyDescent="0.5">
      <c r="A648" s="2"/>
      <c r="B648" s="9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25.5" customHeight="1" x14ac:dyDescent="0.5">
      <c r="A649" s="2"/>
      <c r="B649" s="9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25.5" customHeight="1" x14ac:dyDescent="0.5">
      <c r="A650" s="2"/>
      <c r="B650" s="9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25.5" customHeight="1" x14ac:dyDescent="0.5">
      <c r="A651" s="2"/>
      <c r="B651" s="9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25.5" customHeight="1" x14ac:dyDescent="0.5">
      <c r="A652" s="2"/>
      <c r="B652" s="9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25.5" customHeight="1" x14ac:dyDescent="0.5">
      <c r="A653" s="2"/>
      <c r="B653" s="9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25.5" customHeight="1" x14ac:dyDescent="0.5">
      <c r="A654" s="2"/>
      <c r="B654" s="9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25.5" customHeight="1" x14ac:dyDescent="0.5">
      <c r="A655" s="2"/>
      <c r="B655" s="9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25.5" customHeight="1" x14ac:dyDescent="0.5">
      <c r="A656" s="2"/>
      <c r="B656" s="9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25.5" customHeight="1" x14ac:dyDescent="0.5">
      <c r="A657" s="2"/>
      <c r="B657" s="9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25.5" customHeight="1" x14ac:dyDescent="0.5">
      <c r="A658" s="2"/>
      <c r="B658" s="9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25.5" customHeight="1" x14ac:dyDescent="0.5">
      <c r="A659" s="2"/>
      <c r="B659" s="9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25.5" customHeight="1" x14ac:dyDescent="0.5">
      <c r="A660" s="2"/>
      <c r="B660" s="9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25.5" customHeight="1" x14ac:dyDescent="0.5">
      <c r="A661" s="2"/>
      <c r="B661" s="9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25.5" customHeight="1" x14ac:dyDescent="0.5">
      <c r="A662" s="2"/>
      <c r="B662" s="9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25.5" customHeight="1" x14ac:dyDescent="0.5">
      <c r="A663" s="2"/>
      <c r="B663" s="9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25.5" customHeight="1" x14ac:dyDescent="0.5">
      <c r="A664" s="2"/>
      <c r="B664" s="9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25.5" customHeight="1" x14ac:dyDescent="0.5">
      <c r="A665" s="2"/>
      <c r="B665" s="9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25.5" customHeight="1" x14ac:dyDescent="0.5">
      <c r="A666" s="2"/>
      <c r="B666" s="9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25.5" customHeight="1" x14ac:dyDescent="0.5">
      <c r="A667" s="2"/>
      <c r="B667" s="9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25.5" customHeight="1" x14ac:dyDescent="0.5">
      <c r="A668" s="2"/>
      <c r="B668" s="9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25.5" customHeight="1" x14ac:dyDescent="0.5">
      <c r="A669" s="2"/>
      <c r="B669" s="9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25.5" customHeight="1" x14ac:dyDescent="0.5">
      <c r="A670" s="2"/>
      <c r="B670" s="9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25.5" customHeight="1" x14ac:dyDescent="0.5">
      <c r="A671" s="2"/>
      <c r="B671" s="9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25.5" customHeight="1" x14ac:dyDescent="0.5">
      <c r="A672" s="2"/>
      <c r="B672" s="9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25.5" customHeight="1" x14ac:dyDescent="0.5">
      <c r="A673" s="2"/>
      <c r="B673" s="9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25.5" customHeight="1" x14ac:dyDescent="0.5">
      <c r="A674" s="2"/>
      <c r="B674" s="9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25.5" customHeight="1" x14ac:dyDescent="0.5">
      <c r="A675" s="2"/>
      <c r="B675" s="9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25.5" customHeight="1" x14ac:dyDescent="0.5">
      <c r="A676" s="2"/>
      <c r="B676" s="9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25.5" customHeight="1" x14ac:dyDescent="0.5">
      <c r="A677" s="2"/>
      <c r="B677" s="9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25.5" customHeight="1" x14ac:dyDescent="0.5">
      <c r="A678" s="2"/>
      <c r="B678" s="9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25.5" customHeight="1" x14ac:dyDescent="0.5">
      <c r="A679" s="2"/>
      <c r="B679" s="9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25.5" customHeight="1" x14ac:dyDescent="0.5">
      <c r="A680" s="2"/>
      <c r="B680" s="9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25.5" customHeight="1" x14ac:dyDescent="0.5">
      <c r="A681" s="2"/>
      <c r="B681" s="9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25.5" customHeight="1" x14ac:dyDescent="0.5">
      <c r="A682" s="2"/>
      <c r="B682" s="9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25.5" customHeight="1" x14ac:dyDescent="0.5">
      <c r="A683" s="2"/>
      <c r="B683" s="9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25.5" customHeight="1" x14ac:dyDescent="0.5">
      <c r="A684" s="2"/>
      <c r="B684" s="9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25.5" customHeight="1" x14ac:dyDescent="0.5">
      <c r="A685" s="2"/>
      <c r="B685" s="9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25.5" customHeight="1" x14ac:dyDescent="0.5">
      <c r="A686" s="2"/>
      <c r="B686" s="9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25.5" customHeight="1" x14ac:dyDescent="0.5">
      <c r="A687" s="2"/>
      <c r="B687" s="9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25.5" customHeight="1" x14ac:dyDescent="0.5">
      <c r="A688" s="2"/>
      <c r="B688" s="9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25.5" customHeight="1" x14ac:dyDescent="0.5">
      <c r="A689" s="2"/>
      <c r="B689" s="9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25.5" customHeight="1" x14ac:dyDescent="0.5">
      <c r="A690" s="2"/>
      <c r="B690" s="9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25.5" customHeight="1" x14ac:dyDescent="0.5">
      <c r="A691" s="2"/>
      <c r="B691" s="9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25.5" customHeight="1" x14ac:dyDescent="0.5">
      <c r="A692" s="2"/>
      <c r="B692" s="9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25.5" customHeight="1" x14ac:dyDescent="0.5">
      <c r="A693" s="2"/>
      <c r="B693" s="9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25.5" customHeight="1" x14ac:dyDescent="0.5">
      <c r="A694" s="2"/>
      <c r="B694" s="9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25.5" customHeight="1" x14ac:dyDescent="0.5">
      <c r="A695" s="2"/>
      <c r="B695" s="9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25.5" customHeight="1" x14ac:dyDescent="0.5">
      <c r="A696" s="2"/>
      <c r="B696" s="9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25.5" customHeight="1" x14ac:dyDescent="0.5">
      <c r="A697" s="2"/>
      <c r="B697" s="9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25.5" customHeight="1" x14ac:dyDescent="0.5">
      <c r="A698" s="2"/>
      <c r="B698" s="9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25.5" customHeight="1" x14ac:dyDescent="0.5">
      <c r="A699" s="2"/>
      <c r="B699" s="9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25.5" customHeight="1" x14ac:dyDescent="0.5">
      <c r="A700" s="2"/>
      <c r="B700" s="9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25.5" customHeight="1" x14ac:dyDescent="0.5">
      <c r="A701" s="2"/>
      <c r="B701" s="9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25.5" customHeight="1" x14ac:dyDescent="0.5">
      <c r="A702" s="2"/>
      <c r="B702" s="9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25.5" customHeight="1" x14ac:dyDescent="0.5">
      <c r="A703" s="2"/>
      <c r="B703" s="9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25.5" customHeight="1" x14ac:dyDescent="0.5">
      <c r="A704" s="2"/>
      <c r="B704" s="9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25.5" customHeight="1" x14ac:dyDescent="0.5">
      <c r="A705" s="2"/>
      <c r="B705" s="9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25.5" customHeight="1" x14ac:dyDescent="0.5">
      <c r="A706" s="2"/>
      <c r="B706" s="9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25.5" customHeight="1" x14ac:dyDescent="0.5">
      <c r="A707" s="2"/>
      <c r="B707" s="9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25.5" customHeight="1" x14ac:dyDescent="0.5">
      <c r="A708" s="2"/>
      <c r="B708" s="9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25.5" customHeight="1" x14ac:dyDescent="0.5">
      <c r="A709" s="2"/>
      <c r="B709" s="9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25.5" customHeight="1" x14ac:dyDescent="0.5">
      <c r="A710" s="2"/>
      <c r="B710" s="9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25.5" customHeight="1" x14ac:dyDescent="0.5">
      <c r="A711" s="2"/>
      <c r="B711" s="9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25.5" customHeight="1" x14ac:dyDescent="0.5">
      <c r="A712" s="2"/>
      <c r="B712" s="9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25.5" customHeight="1" x14ac:dyDescent="0.5">
      <c r="A713" s="2"/>
      <c r="B713" s="9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25.5" customHeight="1" x14ac:dyDescent="0.5">
      <c r="A714" s="2"/>
      <c r="B714" s="9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25.5" customHeight="1" x14ac:dyDescent="0.5">
      <c r="A715" s="2"/>
      <c r="B715" s="9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25.5" customHeight="1" x14ac:dyDescent="0.5">
      <c r="A716" s="2"/>
      <c r="B716" s="9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25.5" customHeight="1" x14ac:dyDescent="0.5">
      <c r="A717" s="2"/>
      <c r="B717" s="9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25.5" customHeight="1" x14ac:dyDescent="0.5">
      <c r="A718" s="2"/>
      <c r="B718" s="9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25.5" customHeight="1" x14ac:dyDescent="0.5">
      <c r="A719" s="2"/>
      <c r="B719" s="9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25.5" customHeight="1" x14ac:dyDescent="0.5">
      <c r="A720" s="2"/>
      <c r="B720" s="9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25.5" customHeight="1" x14ac:dyDescent="0.5">
      <c r="A721" s="2"/>
      <c r="B721" s="9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25.5" customHeight="1" x14ac:dyDescent="0.5">
      <c r="A722" s="2"/>
      <c r="B722" s="9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25.5" customHeight="1" x14ac:dyDescent="0.5">
      <c r="A723" s="2"/>
      <c r="B723" s="9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25.5" customHeight="1" x14ac:dyDescent="0.5">
      <c r="A724" s="2"/>
      <c r="B724" s="9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25.5" customHeight="1" x14ac:dyDescent="0.5">
      <c r="A725" s="2"/>
      <c r="B725" s="9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25.5" customHeight="1" x14ac:dyDescent="0.5">
      <c r="A726" s="2"/>
      <c r="B726" s="9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25.5" customHeight="1" x14ac:dyDescent="0.5">
      <c r="A727" s="2"/>
      <c r="B727" s="9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25.5" customHeight="1" x14ac:dyDescent="0.5">
      <c r="A728" s="2"/>
      <c r="B728" s="9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25.5" customHeight="1" x14ac:dyDescent="0.5">
      <c r="A729" s="2"/>
      <c r="B729" s="9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25.5" customHeight="1" x14ac:dyDescent="0.5">
      <c r="A730" s="2"/>
      <c r="B730" s="9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25.5" customHeight="1" x14ac:dyDescent="0.5">
      <c r="A731" s="2"/>
      <c r="B731" s="9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25.5" customHeight="1" x14ac:dyDescent="0.5">
      <c r="A732" s="2"/>
      <c r="B732" s="9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25.5" customHeight="1" x14ac:dyDescent="0.5">
      <c r="A733" s="2"/>
      <c r="B733" s="9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25.5" customHeight="1" x14ac:dyDescent="0.5">
      <c r="A734" s="2"/>
      <c r="B734" s="9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25.5" customHeight="1" x14ac:dyDescent="0.5">
      <c r="A735" s="2"/>
      <c r="B735" s="9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25.5" customHeight="1" x14ac:dyDescent="0.5">
      <c r="A736" s="2"/>
      <c r="B736" s="9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25.5" customHeight="1" x14ac:dyDescent="0.5">
      <c r="A737" s="2"/>
      <c r="B737" s="9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25.5" customHeight="1" x14ac:dyDescent="0.5">
      <c r="A738" s="2"/>
      <c r="B738" s="9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25.5" customHeight="1" x14ac:dyDescent="0.5">
      <c r="A739" s="2"/>
      <c r="B739" s="9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25.5" customHeight="1" x14ac:dyDescent="0.5">
      <c r="A740" s="2"/>
      <c r="B740" s="9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25.5" customHeight="1" x14ac:dyDescent="0.5">
      <c r="A741" s="2"/>
      <c r="B741" s="9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25.5" customHeight="1" x14ac:dyDescent="0.5">
      <c r="A742" s="2"/>
      <c r="B742" s="9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25.5" customHeight="1" x14ac:dyDescent="0.5">
      <c r="A743" s="2"/>
      <c r="B743" s="9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25.5" customHeight="1" x14ac:dyDescent="0.5">
      <c r="A744" s="2"/>
      <c r="B744" s="9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25.5" customHeight="1" x14ac:dyDescent="0.5">
      <c r="A745" s="2"/>
      <c r="B745" s="9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25.5" customHeight="1" x14ac:dyDescent="0.5">
      <c r="A746" s="2"/>
      <c r="B746" s="9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25.5" customHeight="1" x14ac:dyDescent="0.5">
      <c r="A747" s="2"/>
      <c r="B747" s="9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25.5" customHeight="1" x14ac:dyDescent="0.5">
      <c r="A748" s="2"/>
      <c r="B748" s="9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25.5" customHeight="1" x14ac:dyDescent="0.5">
      <c r="A749" s="2"/>
      <c r="B749" s="9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25.5" customHeight="1" x14ac:dyDescent="0.5">
      <c r="A750" s="2"/>
      <c r="B750" s="9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25.5" customHeight="1" x14ac:dyDescent="0.5">
      <c r="A751" s="2"/>
      <c r="B751" s="9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25.5" customHeight="1" x14ac:dyDescent="0.5">
      <c r="A752" s="2"/>
      <c r="B752" s="9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25.5" customHeight="1" x14ac:dyDescent="0.5">
      <c r="A753" s="2"/>
      <c r="B753" s="9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25.5" customHeight="1" x14ac:dyDescent="0.5">
      <c r="A754" s="2"/>
      <c r="B754" s="9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25.5" customHeight="1" x14ac:dyDescent="0.5">
      <c r="A755" s="2"/>
      <c r="B755" s="9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25.5" customHeight="1" x14ac:dyDescent="0.5">
      <c r="A756" s="2"/>
      <c r="B756" s="9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25.5" customHeight="1" x14ac:dyDescent="0.5">
      <c r="A757" s="2"/>
      <c r="B757" s="9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25.5" customHeight="1" x14ac:dyDescent="0.5">
      <c r="A758" s="2"/>
      <c r="B758" s="9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25.5" customHeight="1" x14ac:dyDescent="0.5">
      <c r="A759" s="2"/>
      <c r="B759" s="9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25.5" customHeight="1" x14ac:dyDescent="0.5">
      <c r="A760" s="2"/>
      <c r="B760" s="9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25.5" customHeight="1" x14ac:dyDescent="0.5">
      <c r="A761" s="2"/>
      <c r="B761" s="9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25.5" customHeight="1" x14ac:dyDescent="0.5">
      <c r="A762" s="2"/>
      <c r="B762" s="9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25.5" customHeight="1" x14ac:dyDescent="0.5">
      <c r="A763" s="2"/>
      <c r="B763" s="9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25.5" customHeight="1" x14ac:dyDescent="0.5">
      <c r="A764" s="2"/>
      <c r="B764" s="9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25.5" customHeight="1" x14ac:dyDescent="0.5">
      <c r="A765" s="2"/>
      <c r="B765" s="9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25.5" customHeight="1" x14ac:dyDescent="0.5">
      <c r="A766" s="2"/>
      <c r="B766" s="9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25.5" customHeight="1" x14ac:dyDescent="0.5">
      <c r="A767" s="2"/>
      <c r="B767" s="9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25.5" customHeight="1" x14ac:dyDescent="0.5">
      <c r="A768" s="2"/>
      <c r="B768" s="9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25.5" customHeight="1" x14ac:dyDescent="0.5">
      <c r="A769" s="2"/>
      <c r="B769" s="9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25.5" customHeight="1" x14ac:dyDescent="0.5">
      <c r="A770" s="2"/>
      <c r="B770" s="9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25.5" customHeight="1" x14ac:dyDescent="0.5">
      <c r="A771" s="2"/>
      <c r="B771" s="9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25.5" customHeight="1" x14ac:dyDescent="0.5">
      <c r="A772" s="2"/>
      <c r="B772" s="9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25.5" customHeight="1" x14ac:dyDescent="0.5">
      <c r="A773" s="2"/>
      <c r="B773" s="9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25.5" customHeight="1" x14ac:dyDescent="0.5">
      <c r="A774" s="2"/>
      <c r="B774" s="9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25.5" customHeight="1" x14ac:dyDescent="0.5">
      <c r="A775" s="2"/>
      <c r="B775" s="9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25.5" customHeight="1" x14ac:dyDescent="0.5">
      <c r="A776" s="2"/>
      <c r="B776" s="9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25.5" customHeight="1" x14ac:dyDescent="0.5">
      <c r="A777" s="2"/>
      <c r="B777" s="9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25.5" customHeight="1" x14ac:dyDescent="0.5">
      <c r="A778" s="2"/>
      <c r="B778" s="9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25.5" customHeight="1" x14ac:dyDescent="0.5">
      <c r="A779" s="2"/>
      <c r="B779" s="9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25.5" customHeight="1" x14ac:dyDescent="0.5">
      <c r="A780" s="2"/>
      <c r="B780" s="9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25.5" customHeight="1" x14ac:dyDescent="0.5">
      <c r="A781" s="2"/>
      <c r="B781" s="9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25.5" customHeight="1" x14ac:dyDescent="0.5">
      <c r="A782" s="2"/>
      <c r="B782" s="9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25.5" customHeight="1" x14ac:dyDescent="0.5">
      <c r="A783" s="2"/>
      <c r="B783" s="9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25.5" customHeight="1" x14ac:dyDescent="0.5">
      <c r="A784" s="2"/>
      <c r="B784" s="9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25.5" customHeight="1" x14ac:dyDescent="0.5">
      <c r="A785" s="2"/>
      <c r="B785" s="9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25.5" customHeight="1" x14ac:dyDescent="0.5">
      <c r="A786" s="2"/>
      <c r="B786" s="9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25.5" customHeight="1" x14ac:dyDescent="0.5">
      <c r="A787" s="2"/>
      <c r="B787" s="9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25.5" customHeight="1" x14ac:dyDescent="0.5">
      <c r="A788" s="2"/>
      <c r="B788" s="9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25.5" customHeight="1" x14ac:dyDescent="0.5">
      <c r="A789" s="2"/>
      <c r="B789" s="9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25.5" customHeight="1" x14ac:dyDescent="0.5">
      <c r="A790" s="2"/>
      <c r="B790" s="9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25.5" customHeight="1" x14ac:dyDescent="0.5">
      <c r="A791" s="2"/>
      <c r="B791" s="9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25.5" customHeight="1" x14ac:dyDescent="0.5">
      <c r="A792" s="2"/>
      <c r="B792" s="9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25.5" customHeight="1" x14ac:dyDescent="0.5">
      <c r="A793" s="2"/>
      <c r="B793" s="9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25.5" customHeight="1" x14ac:dyDescent="0.5">
      <c r="A794" s="2"/>
      <c r="B794" s="9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25.5" customHeight="1" x14ac:dyDescent="0.5">
      <c r="A795" s="2"/>
      <c r="B795" s="9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25.5" customHeight="1" x14ac:dyDescent="0.5">
      <c r="A796" s="2"/>
      <c r="B796" s="9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25.5" customHeight="1" x14ac:dyDescent="0.5">
      <c r="A797" s="2"/>
      <c r="B797" s="9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25.5" customHeight="1" x14ac:dyDescent="0.5">
      <c r="A798" s="2"/>
      <c r="B798" s="9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25.5" customHeight="1" x14ac:dyDescent="0.5">
      <c r="A799" s="2"/>
      <c r="B799" s="9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25.5" customHeight="1" x14ac:dyDescent="0.5">
      <c r="A800" s="2"/>
      <c r="B800" s="9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25.5" customHeight="1" x14ac:dyDescent="0.5">
      <c r="A801" s="2"/>
      <c r="B801" s="9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25.5" customHeight="1" x14ac:dyDescent="0.5">
      <c r="A802" s="2"/>
      <c r="B802" s="9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25.5" customHeight="1" x14ac:dyDescent="0.5">
      <c r="A803" s="2"/>
      <c r="B803" s="9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25.5" customHeight="1" x14ac:dyDescent="0.5">
      <c r="A804" s="2"/>
      <c r="B804" s="9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25.5" customHeight="1" x14ac:dyDescent="0.5">
      <c r="A805" s="2"/>
      <c r="B805" s="9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25.5" customHeight="1" x14ac:dyDescent="0.5">
      <c r="A806" s="2"/>
      <c r="B806" s="9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25.5" customHeight="1" x14ac:dyDescent="0.5">
      <c r="A807" s="2"/>
      <c r="B807" s="9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25.5" customHeight="1" x14ac:dyDescent="0.5">
      <c r="A808" s="2"/>
      <c r="B808" s="9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25.5" customHeight="1" x14ac:dyDescent="0.5">
      <c r="A809" s="2"/>
      <c r="B809" s="9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25.5" customHeight="1" x14ac:dyDescent="0.5">
      <c r="A810" s="2"/>
      <c r="B810" s="9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25.5" customHeight="1" x14ac:dyDescent="0.5">
      <c r="A811" s="2"/>
      <c r="B811" s="9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25.5" customHeight="1" x14ac:dyDescent="0.5">
      <c r="A812" s="2"/>
      <c r="B812" s="9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25.5" customHeight="1" x14ac:dyDescent="0.5">
      <c r="A813" s="2"/>
      <c r="B813" s="9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25.5" customHeight="1" x14ac:dyDescent="0.5">
      <c r="A814" s="2"/>
      <c r="B814" s="9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25.5" customHeight="1" x14ac:dyDescent="0.5">
      <c r="A815" s="2"/>
      <c r="B815" s="9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25.5" customHeight="1" x14ac:dyDescent="0.5">
      <c r="A816" s="2"/>
      <c r="B816" s="9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25.5" customHeight="1" x14ac:dyDescent="0.5">
      <c r="A817" s="2"/>
      <c r="B817" s="9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25.5" customHeight="1" x14ac:dyDescent="0.5">
      <c r="A818" s="2"/>
      <c r="B818" s="9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25.5" customHeight="1" x14ac:dyDescent="0.5">
      <c r="A819" s="2"/>
      <c r="B819" s="9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25.5" customHeight="1" x14ac:dyDescent="0.5">
      <c r="A820" s="2"/>
      <c r="B820" s="9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25.5" customHeight="1" x14ac:dyDescent="0.5">
      <c r="A821" s="2"/>
      <c r="B821" s="9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25.5" customHeight="1" x14ac:dyDescent="0.5">
      <c r="A822" s="2"/>
      <c r="B822" s="9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25.5" customHeight="1" x14ac:dyDescent="0.5">
      <c r="A823" s="2"/>
      <c r="B823" s="9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25.5" customHeight="1" x14ac:dyDescent="0.5">
      <c r="A824" s="2"/>
      <c r="B824" s="9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25.5" customHeight="1" x14ac:dyDescent="0.5">
      <c r="A825" s="2"/>
      <c r="B825" s="9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25.5" customHeight="1" x14ac:dyDescent="0.5">
      <c r="A826" s="2"/>
      <c r="B826" s="9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25.5" customHeight="1" x14ac:dyDescent="0.5">
      <c r="A827" s="2"/>
      <c r="B827" s="9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25.5" customHeight="1" x14ac:dyDescent="0.5">
      <c r="A828" s="2"/>
      <c r="B828" s="9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25.5" customHeight="1" x14ac:dyDescent="0.5">
      <c r="A829" s="2"/>
      <c r="B829" s="9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25.5" customHeight="1" x14ac:dyDescent="0.5">
      <c r="A830" s="2"/>
      <c r="B830" s="9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25.5" customHeight="1" x14ac:dyDescent="0.5">
      <c r="A831" s="2"/>
      <c r="B831" s="9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25.5" customHeight="1" x14ac:dyDescent="0.5">
      <c r="A832" s="2"/>
      <c r="B832" s="9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25.5" customHeight="1" x14ac:dyDescent="0.5">
      <c r="A833" s="2"/>
      <c r="B833" s="9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25.5" customHeight="1" x14ac:dyDescent="0.5">
      <c r="A834" s="2"/>
      <c r="B834" s="9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25.5" customHeight="1" x14ac:dyDescent="0.5">
      <c r="A835" s="2"/>
      <c r="B835" s="9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25.5" customHeight="1" x14ac:dyDescent="0.5">
      <c r="A836" s="2"/>
      <c r="B836" s="9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25.5" customHeight="1" x14ac:dyDescent="0.5">
      <c r="A837" s="2"/>
      <c r="B837" s="9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25.5" customHeight="1" x14ac:dyDescent="0.5">
      <c r="A838" s="2"/>
      <c r="B838" s="9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25.5" customHeight="1" x14ac:dyDescent="0.5">
      <c r="A839" s="2"/>
      <c r="B839" s="9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25.5" customHeight="1" x14ac:dyDescent="0.5">
      <c r="A840" s="2"/>
      <c r="B840" s="9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25.5" customHeight="1" x14ac:dyDescent="0.5">
      <c r="A841" s="2"/>
      <c r="B841" s="9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25.5" customHeight="1" x14ac:dyDescent="0.5">
      <c r="A842" s="2"/>
      <c r="B842" s="9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25.5" customHeight="1" x14ac:dyDescent="0.5">
      <c r="A843" s="2"/>
      <c r="B843" s="9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25.5" customHeight="1" x14ac:dyDescent="0.5">
      <c r="A844" s="2"/>
      <c r="B844" s="9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25.5" customHeight="1" x14ac:dyDescent="0.5">
      <c r="A845" s="2"/>
      <c r="B845" s="9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25.5" customHeight="1" x14ac:dyDescent="0.5">
      <c r="A846" s="2"/>
      <c r="B846" s="9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25.5" customHeight="1" x14ac:dyDescent="0.5">
      <c r="A847" s="2"/>
      <c r="B847" s="9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25.5" customHeight="1" x14ac:dyDescent="0.5">
      <c r="A848" s="2"/>
      <c r="B848" s="9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25.5" customHeight="1" x14ac:dyDescent="0.5">
      <c r="A849" s="2"/>
      <c r="B849" s="9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25.5" customHeight="1" x14ac:dyDescent="0.5">
      <c r="A850" s="2"/>
      <c r="B850" s="9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25.5" customHeight="1" x14ac:dyDescent="0.5">
      <c r="A851" s="2"/>
      <c r="B851" s="9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25.5" customHeight="1" x14ac:dyDescent="0.5">
      <c r="A852" s="2"/>
      <c r="B852" s="9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25.5" customHeight="1" x14ac:dyDescent="0.5">
      <c r="A853" s="2"/>
      <c r="B853" s="9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25.5" customHeight="1" x14ac:dyDescent="0.5">
      <c r="A854" s="2"/>
      <c r="B854" s="9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25.5" customHeight="1" x14ac:dyDescent="0.5">
      <c r="A855" s="2"/>
      <c r="B855" s="9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25.5" customHeight="1" x14ac:dyDescent="0.5">
      <c r="A856" s="2"/>
      <c r="B856" s="9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25.5" customHeight="1" x14ac:dyDescent="0.5">
      <c r="A857" s="2"/>
      <c r="B857" s="9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25.5" customHeight="1" x14ac:dyDescent="0.5">
      <c r="A858" s="2"/>
      <c r="B858" s="9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25.5" customHeight="1" x14ac:dyDescent="0.5">
      <c r="A859" s="2"/>
      <c r="B859" s="9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25.5" customHeight="1" x14ac:dyDescent="0.5">
      <c r="A860" s="2"/>
      <c r="B860" s="9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25.5" customHeight="1" x14ac:dyDescent="0.5">
      <c r="A861" s="2"/>
      <c r="B861" s="9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25.5" customHeight="1" x14ac:dyDescent="0.5">
      <c r="A862" s="2"/>
      <c r="B862" s="9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25.5" customHeight="1" x14ac:dyDescent="0.5">
      <c r="A863" s="2"/>
      <c r="B863" s="9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25.5" customHeight="1" x14ac:dyDescent="0.5">
      <c r="A864" s="2"/>
      <c r="B864" s="9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25.5" customHeight="1" x14ac:dyDescent="0.5">
      <c r="A865" s="2"/>
      <c r="B865" s="9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25.5" customHeight="1" x14ac:dyDescent="0.5">
      <c r="A866" s="2"/>
      <c r="B866" s="9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25.5" customHeight="1" x14ac:dyDescent="0.5">
      <c r="A867" s="2"/>
      <c r="B867" s="9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25.5" customHeight="1" x14ac:dyDescent="0.5">
      <c r="A868" s="2"/>
      <c r="B868" s="9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25.5" customHeight="1" x14ac:dyDescent="0.5">
      <c r="A869" s="2"/>
      <c r="B869" s="9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25.5" customHeight="1" x14ac:dyDescent="0.5">
      <c r="A870" s="2"/>
      <c r="B870" s="9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25.5" customHeight="1" x14ac:dyDescent="0.5">
      <c r="A871" s="2"/>
      <c r="B871" s="9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25.5" customHeight="1" x14ac:dyDescent="0.5">
      <c r="A872" s="2"/>
      <c r="B872" s="9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25.5" customHeight="1" x14ac:dyDescent="0.5">
      <c r="A873" s="2"/>
      <c r="B873" s="9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25.5" customHeight="1" x14ac:dyDescent="0.5">
      <c r="A874" s="2"/>
      <c r="B874" s="9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25.5" customHeight="1" x14ac:dyDescent="0.5">
      <c r="A875" s="2"/>
      <c r="B875" s="9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25.5" customHeight="1" x14ac:dyDescent="0.5">
      <c r="A876" s="2"/>
      <c r="B876" s="9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25.5" customHeight="1" x14ac:dyDescent="0.5">
      <c r="A877" s="2"/>
      <c r="B877" s="9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25.5" customHeight="1" x14ac:dyDescent="0.5">
      <c r="A878" s="2"/>
      <c r="B878" s="9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25.5" customHeight="1" x14ac:dyDescent="0.5">
      <c r="A879" s="2"/>
      <c r="B879" s="9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25.5" customHeight="1" x14ac:dyDescent="0.5">
      <c r="A880" s="2"/>
      <c r="B880" s="9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25.5" customHeight="1" x14ac:dyDescent="0.5">
      <c r="A881" s="2"/>
      <c r="B881" s="9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25.5" customHeight="1" x14ac:dyDescent="0.5">
      <c r="A882" s="2"/>
      <c r="B882" s="9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25.5" customHeight="1" x14ac:dyDescent="0.5">
      <c r="A883" s="2"/>
      <c r="B883" s="9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25.5" customHeight="1" x14ac:dyDescent="0.5">
      <c r="A884" s="2"/>
      <c r="B884" s="9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25.5" customHeight="1" x14ac:dyDescent="0.5">
      <c r="A885" s="2"/>
      <c r="B885" s="9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25.5" customHeight="1" x14ac:dyDescent="0.5">
      <c r="A886" s="2"/>
      <c r="B886" s="9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25.5" customHeight="1" x14ac:dyDescent="0.5">
      <c r="A887" s="2"/>
      <c r="B887" s="9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25.5" customHeight="1" x14ac:dyDescent="0.5">
      <c r="A888" s="2"/>
      <c r="B888" s="9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25.5" customHeight="1" x14ac:dyDescent="0.5">
      <c r="A889" s="2"/>
      <c r="B889" s="9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25.5" customHeight="1" x14ac:dyDescent="0.5">
      <c r="A890" s="2"/>
      <c r="B890" s="9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25.5" customHeight="1" x14ac:dyDescent="0.5">
      <c r="A891" s="2"/>
      <c r="B891" s="9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25.5" customHeight="1" x14ac:dyDescent="0.5">
      <c r="A892" s="2"/>
      <c r="B892" s="9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25.5" customHeight="1" x14ac:dyDescent="0.5">
      <c r="A893" s="2"/>
      <c r="B893" s="9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25.5" customHeight="1" x14ac:dyDescent="0.5">
      <c r="A894" s="2"/>
      <c r="B894" s="9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25.5" customHeight="1" x14ac:dyDescent="0.5">
      <c r="A895" s="2"/>
      <c r="B895" s="9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25.5" customHeight="1" x14ac:dyDescent="0.5">
      <c r="A896" s="2"/>
      <c r="B896" s="9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25.5" customHeight="1" x14ac:dyDescent="0.5">
      <c r="A897" s="2"/>
      <c r="B897" s="9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25.5" customHeight="1" x14ac:dyDescent="0.5">
      <c r="A898" s="2"/>
      <c r="B898" s="9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25.5" customHeight="1" x14ac:dyDescent="0.5">
      <c r="A899" s="2"/>
      <c r="B899" s="9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25.5" customHeight="1" x14ac:dyDescent="0.5">
      <c r="A900" s="2"/>
      <c r="B900" s="9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25.5" customHeight="1" x14ac:dyDescent="0.5">
      <c r="A901" s="2"/>
      <c r="B901" s="9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25.5" customHeight="1" x14ac:dyDescent="0.5">
      <c r="A902" s="2"/>
      <c r="B902" s="9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25.5" customHeight="1" x14ac:dyDescent="0.5">
      <c r="A903" s="2"/>
      <c r="B903" s="9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25.5" customHeight="1" x14ac:dyDescent="0.5">
      <c r="A904" s="2"/>
      <c r="B904" s="9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25.5" customHeight="1" x14ac:dyDescent="0.5">
      <c r="A905" s="2"/>
      <c r="B905" s="9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25.5" customHeight="1" x14ac:dyDescent="0.5">
      <c r="A906" s="2"/>
      <c r="B906" s="9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25.5" customHeight="1" x14ac:dyDescent="0.5">
      <c r="A907" s="2"/>
      <c r="B907" s="9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25.5" customHeight="1" x14ac:dyDescent="0.5">
      <c r="A908" s="2"/>
      <c r="B908" s="9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25.5" customHeight="1" x14ac:dyDescent="0.5">
      <c r="A909" s="2"/>
      <c r="B909" s="9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25.5" customHeight="1" x14ac:dyDescent="0.5">
      <c r="A910" s="2"/>
      <c r="B910" s="9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25.5" customHeight="1" x14ac:dyDescent="0.5">
      <c r="A911" s="2"/>
      <c r="B911" s="9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25.5" customHeight="1" x14ac:dyDescent="0.5">
      <c r="A912" s="2"/>
      <c r="B912" s="9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25.5" customHeight="1" x14ac:dyDescent="0.5">
      <c r="A913" s="2"/>
      <c r="B913" s="9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25.5" customHeight="1" x14ac:dyDescent="0.5">
      <c r="A914" s="2"/>
      <c r="B914" s="9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25.5" customHeight="1" x14ac:dyDescent="0.5">
      <c r="A915" s="2"/>
      <c r="B915" s="9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25.5" customHeight="1" x14ac:dyDescent="0.5">
      <c r="A916" s="2"/>
      <c r="B916" s="9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25.5" customHeight="1" x14ac:dyDescent="0.5">
      <c r="A917" s="2"/>
      <c r="B917" s="9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25.5" customHeight="1" x14ac:dyDescent="0.5">
      <c r="A918" s="2"/>
      <c r="B918" s="9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25.5" customHeight="1" x14ac:dyDescent="0.5">
      <c r="A919" s="2"/>
      <c r="B919" s="9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25.5" customHeight="1" x14ac:dyDescent="0.5">
      <c r="A920" s="2"/>
      <c r="B920" s="9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25.5" customHeight="1" x14ac:dyDescent="0.5">
      <c r="A921" s="2"/>
      <c r="B921" s="9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25.5" customHeight="1" x14ac:dyDescent="0.5">
      <c r="A922" s="2"/>
      <c r="B922" s="9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25.5" customHeight="1" x14ac:dyDescent="0.5">
      <c r="A923" s="2"/>
      <c r="B923" s="9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25.5" customHeight="1" x14ac:dyDescent="0.5">
      <c r="A924" s="2"/>
      <c r="B924" s="9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25.5" customHeight="1" x14ac:dyDescent="0.5">
      <c r="A925" s="2"/>
      <c r="B925" s="9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25.5" customHeight="1" x14ac:dyDescent="0.5">
      <c r="A926" s="2"/>
      <c r="B926" s="9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25.5" customHeight="1" x14ac:dyDescent="0.5">
      <c r="A927" s="2"/>
      <c r="B927" s="9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25.5" customHeight="1" x14ac:dyDescent="0.5">
      <c r="A928" s="2"/>
      <c r="B928" s="9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25.5" customHeight="1" x14ac:dyDescent="0.5">
      <c r="A929" s="2"/>
      <c r="B929" s="9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25.5" customHeight="1" x14ac:dyDescent="0.5">
      <c r="A930" s="2"/>
      <c r="B930" s="9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25.5" customHeight="1" x14ac:dyDescent="0.5">
      <c r="A931" s="2"/>
      <c r="B931" s="9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25.5" customHeight="1" x14ac:dyDescent="0.5">
      <c r="A932" s="2"/>
      <c r="B932" s="9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25.5" customHeight="1" x14ac:dyDescent="0.5">
      <c r="A933" s="2"/>
      <c r="B933" s="9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25.5" customHeight="1" x14ac:dyDescent="0.5">
      <c r="A934" s="2"/>
      <c r="B934" s="9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25.5" customHeight="1" x14ac:dyDescent="0.5">
      <c r="A935" s="2"/>
      <c r="B935" s="9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25.5" customHeight="1" x14ac:dyDescent="0.5">
      <c r="A936" s="2"/>
      <c r="B936" s="9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25.5" customHeight="1" x14ac:dyDescent="0.5">
      <c r="A937" s="2"/>
      <c r="B937" s="9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25.5" customHeight="1" x14ac:dyDescent="0.5">
      <c r="A938" s="2"/>
      <c r="B938" s="9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25.5" customHeight="1" x14ac:dyDescent="0.5">
      <c r="A939" s="2"/>
      <c r="B939" s="9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25.5" customHeight="1" x14ac:dyDescent="0.5">
      <c r="A940" s="2"/>
      <c r="B940" s="9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25.5" customHeight="1" x14ac:dyDescent="0.5">
      <c r="A941" s="2"/>
      <c r="B941" s="9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25.5" customHeight="1" x14ac:dyDescent="0.5">
      <c r="A942" s="2"/>
      <c r="B942" s="9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25.5" customHeight="1" x14ac:dyDescent="0.5">
      <c r="A943" s="2"/>
      <c r="B943" s="9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25.5" customHeight="1" x14ac:dyDescent="0.5">
      <c r="A944" s="2"/>
      <c r="B944" s="9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25.5" customHeight="1" x14ac:dyDescent="0.5">
      <c r="A945" s="2"/>
      <c r="B945" s="9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25.5" customHeight="1" x14ac:dyDescent="0.5">
      <c r="A946" s="2"/>
      <c r="B946" s="9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25.5" customHeight="1" x14ac:dyDescent="0.5">
      <c r="A947" s="2"/>
      <c r="B947" s="9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25.5" customHeight="1" x14ac:dyDescent="0.5">
      <c r="A948" s="2"/>
      <c r="B948" s="9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25.5" customHeight="1" x14ac:dyDescent="0.5">
      <c r="A949" s="2"/>
      <c r="B949" s="9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25.5" customHeight="1" x14ac:dyDescent="0.5">
      <c r="A950" s="2"/>
      <c r="B950" s="9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25.5" customHeight="1" x14ac:dyDescent="0.5">
      <c r="A951" s="2"/>
      <c r="B951" s="9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25.5" customHeight="1" x14ac:dyDescent="0.5">
      <c r="A952" s="2"/>
      <c r="B952" s="9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25.5" customHeight="1" x14ac:dyDescent="0.5">
      <c r="A953" s="2"/>
      <c r="B953" s="9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25.5" customHeight="1" x14ac:dyDescent="0.5">
      <c r="A954" s="2"/>
      <c r="B954" s="9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25.5" customHeight="1" x14ac:dyDescent="0.5">
      <c r="A955" s="2"/>
      <c r="B955" s="9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25.5" customHeight="1" x14ac:dyDescent="0.5">
      <c r="A956" s="2"/>
      <c r="B956" s="9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25.5" customHeight="1" x14ac:dyDescent="0.5">
      <c r="A957" s="2"/>
      <c r="B957" s="9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25.5" customHeight="1" x14ac:dyDescent="0.5">
      <c r="A958" s="2"/>
      <c r="B958" s="9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25.5" customHeight="1" x14ac:dyDescent="0.5">
      <c r="A959" s="2"/>
      <c r="B959" s="9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25.5" customHeight="1" x14ac:dyDescent="0.5">
      <c r="A960" s="2"/>
      <c r="B960" s="9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25.5" customHeight="1" x14ac:dyDescent="0.5">
      <c r="A961" s="2"/>
      <c r="B961" s="9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25.5" customHeight="1" x14ac:dyDescent="0.5">
      <c r="A962" s="2"/>
      <c r="B962" s="9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25.5" customHeight="1" x14ac:dyDescent="0.5">
      <c r="A963" s="2"/>
      <c r="B963" s="9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25.5" customHeight="1" x14ac:dyDescent="0.5">
      <c r="A964" s="2"/>
      <c r="B964" s="9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25.5" customHeight="1" x14ac:dyDescent="0.5">
      <c r="A965" s="2"/>
      <c r="B965" s="9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25.5" customHeight="1" x14ac:dyDescent="0.5">
      <c r="A966" s="2"/>
      <c r="B966" s="9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25.5" customHeight="1" x14ac:dyDescent="0.5">
      <c r="A967" s="2"/>
      <c r="B967" s="9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25.5" customHeight="1" x14ac:dyDescent="0.5">
      <c r="A968" s="2"/>
      <c r="B968" s="9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25.5" customHeight="1" x14ac:dyDescent="0.5">
      <c r="A969" s="2"/>
      <c r="B969" s="9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25.5" customHeight="1" x14ac:dyDescent="0.5">
      <c r="A970" s="2"/>
      <c r="B970" s="9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25.5" customHeight="1" x14ac:dyDescent="0.5">
      <c r="A971" s="2"/>
      <c r="B971" s="9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25.5" customHeight="1" x14ac:dyDescent="0.5">
      <c r="A972" s="2"/>
      <c r="B972" s="9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25.5" customHeight="1" x14ac:dyDescent="0.5">
      <c r="A973" s="2"/>
      <c r="B973" s="9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25.5" customHeight="1" x14ac:dyDescent="0.5">
      <c r="A974" s="2"/>
      <c r="B974" s="9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25.5" customHeight="1" x14ac:dyDescent="0.5">
      <c r="A975" s="2"/>
      <c r="B975" s="9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25.5" customHeight="1" x14ac:dyDescent="0.5">
      <c r="A976" s="2"/>
      <c r="B976" s="9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25.5" customHeight="1" x14ac:dyDescent="0.5">
      <c r="A977" s="2"/>
      <c r="B977" s="9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25.5" customHeight="1" x14ac:dyDescent="0.5">
      <c r="A978" s="2"/>
      <c r="B978" s="9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25.5" customHeight="1" x14ac:dyDescent="0.5">
      <c r="A979" s="2"/>
      <c r="B979" s="9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25.5" customHeight="1" x14ac:dyDescent="0.5">
      <c r="A980" s="2"/>
      <c r="B980" s="9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25.5" customHeight="1" x14ac:dyDescent="0.5">
      <c r="A981" s="2"/>
      <c r="B981" s="9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25.5" customHeight="1" x14ac:dyDescent="0.5">
      <c r="A982" s="2"/>
      <c r="B982" s="9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25.5" customHeight="1" x14ac:dyDescent="0.5">
      <c r="A983" s="2"/>
      <c r="B983" s="9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25.5" customHeight="1" x14ac:dyDescent="0.5">
      <c r="A984" s="2"/>
      <c r="B984" s="9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25.5" customHeight="1" x14ac:dyDescent="0.5">
      <c r="A985" s="2"/>
      <c r="B985" s="9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25.5" customHeight="1" x14ac:dyDescent="0.5">
      <c r="A986" s="2"/>
      <c r="B986" s="9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25.5" customHeight="1" x14ac:dyDescent="0.5">
      <c r="A987" s="2"/>
      <c r="B987" s="9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25.5" customHeight="1" x14ac:dyDescent="0.5">
      <c r="A988" s="2"/>
      <c r="B988" s="9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25.5" customHeight="1" x14ac:dyDescent="0.5">
      <c r="A989" s="2"/>
      <c r="B989" s="9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25.5" customHeight="1" x14ac:dyDescent="0.5">
      <c r="A990" s="2"/>
      <c r="B990" s="9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25.5" customHeight="1" x14ac:dyDescent="0.5">
      <c r="A991" s="2"/>
      <c r="B991" s="9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25.5" customHeight="1" x14ac:dyDescent="0.5">
      <c r="A992" s="2"/>
      <c r="B992" s="9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25.5" customHeight="1" x14ac:dyDescent="0.5">
      <c r="A993" s="2"/>
      <c r="B993" s="9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25.5" customHeight="1" x14ac:dyDescent="0.5">
      <c r="A994" s="2"/>
      <c r="B994" s="9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25.5" customHeight="1" x14ac:dyDescent="0.5">
      <c r="A995" s="2"/>
      <c r="B995" s="9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25.5" customHeight="1" x14ac:dyDescent="0.5">
      <c r="A996" s="2"/>
      <c r="B996" s="9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25.5" customHeight="1" x14ac:dyDescent="0.5">
      <c r="A997" s="2"/>
      <c r="B997" s="9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25.5" customHeight="1" x14ac:dyDescent="0.5">
      <c r="A998" s="2"/>
      <c r="B998" s="9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</sheetData>
  <mergeCells count="1">
    <mergeCell ref="B7:B20"/>
  </mergeCells>
  <pageMargins left="0.7" right="0.7" top="0.75" bottom="0.7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EF1F612-C817-40E8-89E2-DD6FD2EAE730}">
          <x14:formula1>
            <xm:f>List_bank!B2:B1000</xm:f>
          </x14:formula1>
          <xm:sqref>A1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4F79D-0025-4BD8-87B0-D6778D468807}">
  <dimension ref="A1:I101"/>
  <sheetViews>
    <sheetView workbookViewId="0">
      <selection activeCell="A2" sqref="A2:A3"/>
    </sheetView>
  </sheetViews>
  <sheetFormatPr defaultRowHeight="14.4" x14ac:dyDescent="0.3"/>
  <cols>
    <col min="1" max="1" width="10" customWidth="1"/>
    <col min="2" max="2" width="11.109375" bestFit="1" customWidth="1"/>
    <col min="3" max="3" width="15.88671875" bestFit="1" customWidth="1"/>
    <col min="4" max="4" width="72" bestFit="1" customWidth="1"/>
    <col min="5" max="5" width="12.5546875" customWidth="1"/>
    <col min="6" max="6" width="11" customWidth="1"/>
    <col min="7" max="7" width="17.6640625" customWidth="1"/>
    <col min="8" max="8" width="39" bestFit="1" customWidth="1"/>
    <col min="9" max="9" width="18.33203125" customWidth="1"/>
  </cols>
  <sheetData>
    <row r="1" spans="1:9" s="17" customFormat="1" ht="22.5" customHeight="1" x14ac:dyDescent="0.3">
      <c r="A1" s="16" t="s">
        <v>3</v>
      </c>
      <c r="B1" s="18" t="s">
        <v>249</v>
      </c>
      <c r="C1" s="18" t="s">
        <v>250</v>
      </c>
      <c r="D1" s="16" t="s">
        <v>4</v>
      </c>
      <c r="E1" s="16" t="s">
        <v>158</v>
      </c>
      <c r="F1" s="16" t="s">
        <v>6</v>
      </c>
      <c r="G1" s="16" t="s">
        <v>5</v>
      </c>
      <c r="H1" s="16" t="s">
        <v>7</v>
      </c>
      <c r="I1" s="16" t="s">
        <v>8</v>
      </c>
    </row>
    <row r="2" spans="1:9" ht="22.5" customHeight="1" x14ac:dyDescent="0.3">
      <c r="A2" s="19">
        <v>2</v>
      </c>
      <c r="B2" s="21" t="s">
        <v>13</v>
      </c>
      <c r="C2" s="19">
        <v>81051</v>
      </c>
      <c r="D2" s="19" t="str">
        <f>IFERROR((VLOOKUP(A2,'API - io'!$A:$G,2,0)),"-")</f>
        <v>Ngân hàng TMCP Á Châu</v>
      </c>
      <c r="E2" s="19" t="str">
        <f>IFERROR((VLOOKUP(A2,'API - io'!$A:$G,3,0)),"-")</f>
        <v>ACB</v>
      </c>
      <c r="F2" s="19">
        <f>IFERROR((VLOOKUP(A2,'API - io'!$A:$G,4,0)),"-")</f>
        <v>970416</v>
      </c>
      <c r="G2" s="19" t="str">
        <f>IFERROR((VLOOKUP(A2,'API - io'!$A:$G,5,0)),"-")</f>
        <v>ACB</v>
      </c>
      <c r="H2" s="20" t="str">
        <f>IFERROR((VLOOKUP(A2,'API - io'!$A:$G,6,0)),"-")</f>
        <v>https://cdn.vietqr.io/img/ACB.png</v>
      </c>
      <c r="I2" s="19" t="str">
        <f>IFERROR((VLOOKUP(A2,'API - io'!$A:$G,7,0)),"-")</f>
        <v>ACB</v>
      </c>
    </row>
    <row r="3" spans="1:9" ht="22.5" customHeight="1" x14ac:dyDescent="0.3">
      <c r="A3" s="19">
        <v>38</v>
      </c>
      <c r="B3" s="21" t="s">
        <v>251</v>
      </c>
      <c r="C3" s="21">
        <v>44699999999</v>
      </c>
      <c r="D3" s="19" t="str">
        <f>IFERROR((VLOOKUP(A3,'API - io'!$A:$G,2,0)),"-")</f>
        <v>Ngân hàng TMCP Kỹ thương Việt Nam</v>
      </c>
      <c r="E3" s="19" t="str">
        <f>IFERROR((VLOOKUP(A3,'API - io'!$A:$G,3,0)),"-")</f>
        <v>TCB</v>
      </c>
      <c r="F3" s="19">
        <f>IFERROR((VLOOKUP(A3,'API - io'!$A:$G,4,0)),"-")</f>
        <v>970407</v>
      </c>
      <c r="G3" s="19" t="str">
        <f>IFERROR((VLOOKUP(A3,'API - io'!$A:$G,5,0)),"-")</f>
        <v>Techcombank</v>
      </c>
      <c r="H3" s="20" t="str">
        <f>IFERROR((VLOOKUP(A3,'API - io'!$A:$G,6,0)),"-")</f>
        <v>https://cdn.vietqr.io/img/TCB.png</v>
      </c>
      <c r="I3" s="19" t="str">
        <f>IFERROR((VLOOKUP(A3,'API - io'!$A:$G,7,0)),"-")</f>
        <v>Techcombank</v>
      </c>
    </row>
    <row r="4" spans="1:9" ht="22.5" customHeight="1" x14ac:dyDescent="0.3">
      <c r="A4" s="19"/>
      <c r="B4" s="22"/>
      <c r="C4" s="22"/>
      <c r="D4" s="19" t="str">
        <f>IFERROR((VLOOKUP(A4,'API - io'!$A:$G,2,0)),"-")</f>
        <v>-</v>
      </c>
      <c r="E4" s="19" t="str">
        <f>IFERROR((VLOOKUP(A4,'API - io'!$A:$G,3,0)),"-")</f>
        <v>-</v>
      </c>
      <c r="F4" s="19" t="str">
        <f>IFERROR((VLOOKUP(A4,'API - io'!$A:$G,4,0)),"-")</f>
        <v>-</v>
      </c>
      <c r="G4" s="19" t="str">
        <f>IFERROR((VLOOKUP(A4,'API - io'!$A:$G,5,0)),"-")</f>
        <v>-</v>
      </c>
      <c r="H4" s="20" t="str">
        <f>IFERROR((VLOOKUP(A4,'API - io'!$A:$G,6,0)),"-")</f>
        <v>-</v>
      </c>
      <c r="I4" s="19" t="str">
        <f>IFERROR((VLOOKUP(A4,'API - io'!$A:$G,7,0)),"-")</f>
        <v>-</v>
      </c>
    </row>
    <row r="5" spans="1:9" ht="22.5" customHeight="1" x14ac:dyDescent="0.3">
      <c r="A5" s="19"/>
      <c r="B5" s="19"/>
      <c r="C5" s="19"/>
      <c r="D5" s="19" t="str">
        <f>IFERROR((VLOOKUP(A5,'API - io'!$A:$G,2,0)),"-")</f>
        <v>-</v>
      </c>
      <c r="E5" s="19" t="str">
        <f>IFERROR((VLOOKUP(A5,'API - io'!$A:$G,3,0)),"-")</f>
        <v>-</v>
      </c>
      <c r="F5" s="19" t="str">
        <f>IFERROR((VLOOKUP(A5,'API - io'!$A:$G,4,0)),"-")</f>
        <v>-</v>
      </c>
      <c r="G5" s="19" t="str">
        <f>IFERROR((VLOOKUP(A5,'API - io'!$A:$G,5,0)),"-")</f>
        <v>-</v>
      </c>
      <c r="H5" s="20" t="str">
        <f>IFERROR((VLOOKUP(A5,'API - io'!$A:$G,6,0)),"-")</f>
        <v>-</v>
      </c>
      <c r="I5" s="19" t="str">
        <f>IFERROR((VLOOKUP(A5,'API - io'!$A:$G,7,0)),"-")</f>
        <v>-</v>
      </c>
    </row>
    <row r="6" spans="1:9" ht="22.5" customHeight="1" x14ac:dyDescent="0.3">
      <c r="A6" s="19"/>
      <c r="B6" s="19"/>
      <c r="C6" s="19"/>
      <c r="D6" s="19" t="str">
        <f>IFERROR((VLOOKUP(A6,'API - io'!$A:$G,2,0)),"-")</f>
        <v>-</v>
      </c>
      <c r="E6" s="19" t="str">
        <f>IFERROR((VLOOKUP(A6,'API - io'!$A:$G,3,0)),"-")</f>
        <v>-</v>
      </c>
      <c r="F6" s="19" t="str">
        <f>IFERROR((VLOOKUP(A6,'API - io'!$A:$G,4,0)),"-")</f>
        <v>-</v>
      </c>
      <c r="G6" s="19" t="str">
        <f>IFERROR((VLOOKUP(A6,'API - io'!$A:$G,5,0)),"-")</f>
        <v>-</v>
      </c>
      <c r="H6" s="20" t="str">
        <f>IFERROR((VLOOKUP(A6,'API - io'!$A:$G,6,0)),"-")</f>
        <v>-</v>
      </c>
      <c r="I6" s="19" t="str">
        <f>IFERROR((VLOOKUP(A6,'API - io'!$A:$G,7,0)),"-")</f>
        <v>-</v>
      </c>
    </row>
    <row r="7" spans="1:9" ht="22.5" customHeight="1" x14ac:dyDescent="0.3">
      <c r="A7" s="19"/>
      <c r="B7" s="19"/>
      <c r="C7" s="19"/>
      <c r="D7" s="19" t="str">
        <f>IFERROR((VLOOKUP(A7,'API - io'!$A:$G,2,0)),"-")</f>
        <v>-</v>
      </c>
      <c r="E7" s="19" t="str">
        <f>IFERROR((VLOOKUP(A7,'API - io'!$A:$G,3,0)),"-")</f>
        <v>-</v>
      </c>
      <c r="F7" s="19" t="str">
        <f>IFERROR((VLOOKUP(A7,'API - io'!$A:$G,4,0)),"-")</f>
        <v>-</v>
      </c>
      <c r="G7" s="19" t="str">
        <f>IFERROR((VLOOKUP(A7,'API - io'!$A:$G,5,0)),"-")</f>
        <v>-</v>
      </c>
      <c r="H7" s="20" t="str">
        <f>IFERROR((VLOOKUP(A7,'API - io'!$A:$G,6,0)),"-")</f>
        <v>-</v>
      </c>
      <c r="I7" s="19" t="str">
        <f>IFERROR((VLOOKUP(A7,'API - io'!$A:$G,7,0)),"-")</f>
        <v>-</v>
      </c>
    </row>
    <row r="8" spans="1:9" ht="22.5" customHeight="1" x14ac:dyDescent="0.3">
      <c r="A8" s="19"/>
      <c r="B8" s="19"/>
      <c r="C8" s="19"/>
      <c r="D8" s="19" t="str">
        <f>IFERROR((VLOOKUP(A8,'API - io'!$A:$G,2,0)),"-")</f>
        <v>-</v>
      </c>
      <c r="E8" s="19" t="str">
        <f>IFERROR((VLOOKUP(A8,'API - io'!$A:$G,3,0)),"-")</f>
        <v>-</v>
      </c>
      <c r="F8" s="19" t="str">
        <f>IFERROR((VLOOKUP(A8,'API - io'!$A:$G,4,0)),"-")</f>
        <v>-</v>
      </c>
      <c r="G8" s="19" t="str">
        <f>IFERROR((VLOOKUP(A8,'API - io'!$A:$G,5,0)),"-")</f>
        <v>-</v>
      </c>
      <c r="H8" s="20" t="str">
        <f>IFERROR((VLOOKUP(A8,'API - io'!$A:$G,6,0)),"-")</f>
        <v>-</v>
      </c>
      <c r="I8" s="19" t="str">
        <f>IFERROR((VLOOKUP(A8,'API - io'!$A:$G,7,0)),"-")</f>
        <v>-</v>
      </c>
    </row>
    <row r="9" spans="1:9" ht="22.5" customHeight="1" x14ac:dyDescent="0.3">
      <c r="A9" s="19"/>
      <c r="B9" s="19"/>
      <c r="C9" s="19"/>
      <c r="D9" s="19" t="str">
        <f>IFERROR((VLOOKUP(A9,'API - io'!$A:$G,2,0)),"-")</f>
        <v>-</v>
      </c>
      <c r="E9" s="19" t="str">
        <f>IFERROR((VLOOKUP(A9,'API - io'!$A:$G,3,0)),"-")</f>
        <v>-</v>
      </c>
      <c r="F9" s="19" t="str">
        <f>IFERROR((VLOOKUP(A9,'API - io'!$A:$G,4,0)),"-")</f>
        <v>-</v>
      </c>
      <c r="G9" s="19" t="str">
        <f>IFERROR((VLOOKUP(A9,'API - io'!$A:$G,5,0)),"-")</f>
        <v>-</v>
      </c>
      <c r="H9" s="20" t="str">
        <f>IFERROR((VLOOKUP(A9,'API - io'!$A:$G,6,0)),"-")</f>
        <v>-</v>
      </c>
      <c r="I9" s="19" t="str">
        <f>IFERROR((VLOOKUP(A9,'API - io'!$A:$G,7,0)),"-")</f>
        <v>-</v>
      </c>
    </row>
    <row r="10" spans="1:9" ht="22.5" customHeight="1" x14ac:dyDescent="0.3">
      <c r="A10" s="19"/>
      <c r="B10" s="19"/>
      <c r="C10" s="19"/>
      <c r="D10" s="19" t="str">
        <f>IFERROR((VLOOKUP(A10,'API - io'!$A:$G,2,0)),"-")</f>
        <v>-</v>
      </c>
      <c r="E10" s="19" t="str">
        <f>IFERROR((VLOOKUP(A10,'API - io'!$A:$G,3,0)),"-")</f>
        <v>-</v>
      </c>
      <c r="F10" s="19" t="str">
        <f>IFERROR((VLOOKUP(A10,'API - io'!$A:$G,4,0)),"-")</f>
        <v>-</v>
      </c>
      <c r="G10" s="19" t="str">
        <f>IFERROR((VLOOKUP(A10,'API - io'!$A:$G,5,0)),"-")</f>
        <v>-</v>
      </c>
      <c r="H10" s="20" t="str">
        <f>IFERROR((VLOOKUP(A10,'API - io'!$A:$G,6,0)),"-")</f>
        <v>-</v>
      </c>
      <c r="I10" s="19" t="str">
        <f>IFERROR((VLOOKUP(A10,'API - io'!$A:$G,7,0)),"-")</f>
        <v>-</v>
      </c>
    </row>
    <row r="11" spans="1:9" ht="22.5" customHeight="1" x14ac:dyDescent="0.3">
      <c r="A11" s="19"/>
      <c r="B11" s="19"/>
      <c r="C11" s="19"/>
      <c r="D11" s="19" t="str">
        <f>IFERROR((VLOOKUP(A11,'API - io'!$A:$G,2,0)),"-")</f>
        <v>-</v>
      </c>
      <c r="E11" s="19" t="str">
        <f>IFERROR((VLOOKUP(A11,'API - io'!$A:$G,3,0)),"-")</f>
        <v>-</v>
      </c>
      <c r="F11" s="19" t="str">
        <f>IFERROR((VLOOKUP(A11,'API - io'!$A:$G,4,0)),"-")</f>
        <v>-</v>
      </c>
      <c r="G11" s="19" t="str">
        <f>IFERROR((VLOOKUP(A11,'API - io'!$A:$G,5,0)),"-")</f>
        <v>-</v>
      </c>
      <c r="H11" s="20" t="str">
        <f>IFERROR((VLOOKUP(A11,'API - io'!$A:$G,6,0)),"-")</f>
        <v>-</v>
      </c>
      <c r="I11" s="19" t="str">
        <f>IFERROR((VLOOKUP(A11,'API - io'!$A:$G,7,0)),"-")</f>
        <v>-</v>
      </c>
    </row>
    <row r="12" spans="1:9" ht="22.5" customHeight="1" x14ac:dyDescent="0.3">
      <c r="A12" s="19"/>
      <c r="B12" s="19"/>
      <c r="C12" s="19"/>
      <c r="D12" s="19" t="str">
        <f>IFERROR((VLOOKUP(A12,'API - io'!$A:$G,2,0)),"-")</f>
        <v>-</v>
      </c>
      <c r="E12" s="19" t="str">
        <f>IFERROR((VLOOKUP(A12,'API - io'!$A:$G,3,0)),"-")</f>
        <v>-</v>
      </c>
      <c r="F12" s="19" t="str">
        <f>IFERROR((VLOOKUP(A12,'API - io'!$A:$G,4,0)),"-")</f>
        <v>-</v>
      </c>
      <c r="G12" s="19" t="str">
        <f>IFERROR((VLOOKUP(A12,'API - io'!$A:$G,5,0)),"-")</f>
        <v>-</v>
      </c>
      <c r="H12" s="20" t="str">
        <f>IFERROR((VLOOKUP(A12,'API - io'!$A:$G,6,0)),"-")</f>
        <v>-</v>
      </c>
      <c r="I12" s="19" t="str">
        <f>IFERROR((VLOOKUP(A12,'API - io'!$A:$G,7,0)),"-")</f>
        <v>-</v>
      </c>
    </row>
    <row r="13" spans="1:9" ht="22.5" customHeight="1" x14ac:dyDescent="0.3">
      <c r="A13" s="19"/>
      <c r="B13" s="19"/>
      <c r="C13" s="19"/>
      <c r="D13" s="19" t="str">
        <f>IFERROR((VLOOKUP(A13,'API - io'!$A:$G,2,0)),"-")</f>
        <v>-</v>
      </c>
      <c r="E13" s="19" t="str">
        <f>IFERROR((VLOOKUP(A13,'API - io'!$A:$G,3,0)),"-")</f>
        <v>-</v>
      </c>
      <c r="F13" s="19" t="str">
        <f>IFERROR((VLOOKUP(A13,'API - io'!$A:$G,4,0)),"-")</f>
        <v>-</v>
      </c>
      <c r="G13" s="19" t="str">
        <f>IFERROR((VLOOKUP(A13,'API - io'!$A:$G,5,0)),"-")</f>
        <v>-</v>
      </c>
      <c r="H13" s="20" t="str">
        <f>IFERROR((VLOOKUP(A13,'API - io'!$A:$G,6,0)),"-")</f>
        <v>-</v>
      </c>
      <c r="I13" s="19" t="str">
        <f>IFERROR((VLOOKUP(A13,'API - io'!$A:$G,7,0)),"-")</f>
        <v>-</v>
      </c>
    </row>
    <row r="14" spans="1:9" ht="22.5" customHeight="1" x14ac:dyDescent="0.3">
      <c r="A14" s="19"/>
      <c r="B14" s="19"/>
      <c r="C14" s="19"/>
      <c r="D14" s="19" t="str">
        <f>IFERROR((VLOOKUP(A14,'API - io'!$A:$G,2,0)),"-")</f>
        <v>-</v>
      </c>
      <c r="E14" s="19" t="str">
        <f>IFERROR((VLOOKUP(A14,'API - io'!$A:$G,3,0)),"-")</f>
        <v>-</v>
      </c>
      <c r="F14" s="19" t="str">
        <f>IFERROR((VLOOKUP(A14,'API - io'!$A:$G,4,0)),"-")</f>
        <v>-</v>
      </c>
      <c r="G14" s="19" t="str">
        <f>IFERROR((VLOOKUP(A14,'API - io'!$A:$G,5,0)),"-")</f>
        <v>-</v>
      </c>
      <c r="H14" s="20" t="str">
        <f>IFERROR((VLOOKUP(A14,'API - io'!$A:$G,6,0)),"-")</f>
        <v>-</v>
      </c>
      <c r="I14" s="19" t="str">
        <f>IFERROR((VLOOKUP(A14,'API - io'!$A:$G,7,0)),"-")</f>
        <v>-</v>
      </c>
    </row>
    <row r="15" spans="1:9" ht="22.5" customHeight="1" x14ac:dyDescent="0.3">
      <c r="A15" s="19"/>
      <c r="B15" s="19"/>
      <c r="C15" s="19"/>
      <c r="D15" s="19" t="str">
        <f>IFERROR((VLOOKUP(A15,'API - io'!$A:$G,2,0)),"-")</f>
        <v>-</v>
      </c>
      <c r="E15" s="19" t="str">
        <f>IFERROR((VLOOKUP(A15,'API - io'!$A:$G,3,0)),"-")</f>
        <v>-</v>
      </c>
      <c r="F15" s="19" t="str">
        <f>IFERROR((VLOOKUP(A15,'API - io'!$A:$G,4,0)),"-")</f>
        <v>-</v>
      </c>
      <c r="G15" s="19" t="str">
        <f>IFERROR((VLOOKUP(A15,'API - io'!$A:$G,5,0)),"-")</f>
        <v>-</v>
      </c>
      <c r="H15" s="20" t="str">
        <f>IFERROR((VLOOKUP(A15,'API - io'!$A:$G,6,0)),"-")</f>
        <v>-</v>
      </c>
      <c r="I15" s="19" t="str">
        <f>IFERROR((VLOOKUP(A15,'API - io'!$A:$G,7,0)),"-")</f>
        <v>-</v>
      </c>
    </row>
    <row r="16" spans="1:9" x14ac:dyDescent="0.3">
      <c r="A16" s="22"/>
      <c r="B16" s="22"/>
      <c r="C16" s="22"/>
      <c r="D16" s="19" t="str">
        <f>IFERROR((VLOOKUP(A16,'API - io'!$A:$G,2,0)),"-")</f>
        <v>-</v>
      </c>
      <c r="E16" s="19" t="str">
        <f>IFERROR((VLOOKUP(A16,'API - io'!$A:$G,3,0)),"-")</f>
        <v>-</v>
      </c>
      <c r="F16" s="19" t="str">
        <f>IFERROR((VLOOKUP(A16,'API - io'!$A:$G,4,0)),"-")</f>
        <v>-</v>
      </c>
      <c r="G16" s="19" t="str">
        <f>IFERROR((VLOOKUP(A16,'API - io'!$A:$G,5,0)),"-")</f>
        <v>-</v>
      </c>
      <c r="H16" s="20" t="str">
        <f>IFERROR((VLOOKUP(A16,'API - io'!$A:$G,6,0)),"-")</f>
        <v>-</v>
      </c>
      <c r="I16" s="19" t="str">
        <f>IFERROR((VLOOKUP(A16,'API - io'!$A:$G,7,0)),"-")</f>
        <v>-</v>
      </c>
    </row>
    <row r="17" spans="1:9" x14ac:dyDescent="0.3">
      <c r="A17" s="22"/>
      <c r="B17" s="22"/>
      <c r="C17" s="22"/>
      <c r="D17" s="19" t="str">
        <f>IFERROR((VLOOKUP(A17,'API - io'!$A:$G,2,0)),"-")</f>
        <v>-</v>
      </c>
      <c r="E17" s="19" t="str">
        <f>IFERROR((VLOOKUP(A17,'API - io'!$A:$G,3,0)),"-")</f>
        <v>-</v>
      </c>
      <c r="F17" s="19" t="str">
        <f>IFERROR((VLOOKUP(A17,'API - io'!$A:$G,4,0)),"-")</f>
        <v>-</v>
      </c>
      <c r="G17" s="19" t="str">
        <f>IFERROR((VLOOKUP(A17,'API - io'!$A:$G,5,0)),"-")</f>
        <v>-</v>
      </c>
      <c r="H17" s="20" t="str">
        <f>IFERROR((VLOOKUP(A17,'API - io'!$A:$G,6,0)),"-")</f>
        <v>-</v>
      </c>
      <c r="I17" s="19" t="str">
        <f>IFERROR((VLOOKUP(A17,'API - io'!$A:$G,7,0)),"-")</f>
        <v>-</v>
      </c>
    </row>
    <row r="18" spans="1:9" x14ac:dyDescent="0.3">
      <c r="A18" s="22"/>
      <c r="B18" s="22"/>
      <c r="C18" s="22"/>
      <c r="D18" s="19" t="str">
        <f>IFERROR((VLOOKUP(A18,'API - io'!$A:$G,2,0)),"-")</f>
        <v>-</v>
      </c>
      <c r="E18" s="19" t="str">
        <f>IFERROR((VLOOKUP(A18,'API - io'!$A:$G,3,0)),"-")</f>
        <v>-</v>
      </c>
      <c r="F18" s="19" t="str">
        <f>IFERROR((VLOOKUP(A18,'API - io'!$A:$G,4,0)),"-")</f>
        <v>-</v>
      </c>
      <c r="G18" s="19" t="str">
        <f>IFERROR((VLOOKUP(A18,'API - io'!$A:$G,5,0)),"-")</f>
        <v>-</v>
      </c>
      <c r="H18" s="20" t="str">
        <f>IFERROR((VLOOKUP(A18,'API - io'!$A:$G,6,0)),"-")</f>
        <v>-</v>
      </c>
      <c r="I18" s="19" t="str">
        <f>IFERROR((VLOOKUP(A18,'API - io'!$A:$G,7,0)),"-")</f>
        <v>-</v>
      </c>
    </row>
    <row r="19" spans="1:9" x14ac:dyDescent="0.3">
      <c r="A19" s="22"/>
      <c r="B19" s="22"/>
      <c r="C19" s="22"/>
      <c r="D19" s="19" t="str">
        <f>IFERROR((VLOOKUP(A19,'API - io'!$A:$G,2,0)),"-")</f>
        <v>-</v>
      </c>
      <c r="E19" s="19" t="str">
        <f>IFERROR((VLOOKUP(A19,'API - io'!$A:$G,3,0)),"-")</f>
        <v>-</v>
      </c>
      <c r="F19" s="19" t="str">
        <f>IFERROR((VLOOKUP(A19,'API - io'!$A:$G,4,0)),"-")</f>
        <v>-</v>
      </c>
      <c r="G19" s="19" t="str">
        <f>IFERROR((VLOOKUP(A19,'API - io'!$A:$G,5,0)),"-")</f>
        <v>-</v>
      </c>
      <c r="H19" s="20" t="str">
        <f>IFERROR((VLOOKUP(A19,'API - io'!$A:$G,6,0)),"-")</f>
        <v>-</v>
      </c>
      <c r="I19" s="19" t="str">
        <f>IFERROR((VLOOKUP(A19,'API - io'!$A:$G,7,0)),"-")</f>
        <v>-</v>
      </c>
    </row>
    <row r="20" spans="1:9" x14ac:dyDescent="0.3">
      <c r="A20" s="22"/>
      <c r="B20" s="22"/>
      <c r="C20" s="22"/>
      <c r="D20" s="19" t="str">
        <f>IFERROR((VLOOKUP(A20,'API - io'!$A:$G,2,0)),"-")</f>
        <v>-</v>
      </c>
      <c r="E20" s="19" t="str">
        <f>IFERROR((VLOOKUP(A20,'API - io'!$A:$G,3,0)),"-")</f>
        <v>-</v>
      </c>
      <c r="F20" s="19" t="str">
        <f>IFERROR((VLOOKUP(A20,'API - io'!$A:$G,4,0)),"-")</f>
        <v>-</v>
      </c>
      <c r="G20" s="19" t="str">
        <f>IFERROR((VLOOKUP(A20,'API - io'!$A:$G,5,0)),"-")</f>
        <v>-</v>
      </c>
      <c r="H20" s="20" t="str">
        <f>IFERROR((VLOOKUP(A20,'API - io'!$A:$G,6,0)),"-")</f>
        <v>-</v>
      </c>
      <c r="I20" s="19" t="str">
        <f>IFERROR((VLOOKUP(A20,'API - io'!$A:$G,7,0)),"-")</f>
        <v>-</v>
      </c>
    </row>
    <row r="21" spans="1:9" x14ac:dyDescent="0.3">
      <c r="A21" s="22"/>
      <c r="B21" s="22"/>
      <c r="C21" s="22"/>
      <c r="D21" s="19" t="str">
        <f>IFERROR((VLOOKUP(A21,'API - io'!$A:$G,2,0)),"-")</f>
        <v>-</v>
      </c>
      <c r="E21" s="19" t="str">
        <f>IFERROR((VLOOKUP(A21,'API - io'!$A:$G,3,0)),"-")</f>
        <v>-</v>
      </c>
      <c r="F21" s="19" t="str">
        <f>IFERROR((VLOOKUP(A21,'API - io'!$A:$G,4,0)),"-")</f>
        <v>-</v>
      </c>
      <c r="G21" s="19" t="str">
        <f>IFERROR((VLOOKUP(A21,'API - io'!$A:$G,5,0)),"-")</f>
        <v>-</v>
      </c>
      <c r="H21" s="20" t="str">
        <f>IFERROR((VLOOKUP(A21,'API - io'!$A:$G,6,0)),"-")</f>
        <v>-</v>
      </c>
      <c r="I21" s="19" t="str">
        <f>IFERROR((VLOOKUP(A21,'API - io'!$A:$G,7,0)),"-")</f>
        <v>-</v>
      </c>
    </row>
    <row r="22" spans="1:9" x14ac:dyDescent="0.3">
      <c r="A22" s="22"/>
      <c r="B22" s="22"/>
      <c r="C22" s="22"/>
      <c r="D22" s="19" t="str">
        <f>IFERROR((VLOOKUP(A22,'API - io'!$A:$G,2,0)),"-")</f>
        <v>-</v>
      </c>
      <c r="E22" s="19" t="str">
        <f>IFERROR((VLOOKUP(A22,'API - io'!$A:$G,3,0)),"-")</f>
        <v>-</v>
      </c>
      <c r="F22" s="19" t="str">
        <f>IFERROR((VLOOKUP(A22,'API - io'!$A:$G,4,0)),"-")</f>
        <v>-</v>
      </c>
      <c r="G22" s="19" t="str">
        <f>IFERROR((VLOOKUP(A22,'API - io'!$A:$G,5,0)),"-")</f>
        <v>-</v>
      </c>
      <c r="H22" s="20" t="str">
        <f>IFERROR((VLOOKUP(A22,'API - io'!$A:$G,6,0)),"-")</f>
        <v>-</v>
      </c>
      <c r="I22" s="19" t="str">
        <f>IFERROR((VLOOKUP(A22,'API - io'!$A:$G,7,0)),"-")</f>
        <v>-</v>
      </c>
    </row>
    <row r="23" spans="1:9" x14ac:dyDescent="0.3">
      <c r="A23" s="22"/>
      <c r="B23" s="22"/>
      <c r="C23" s="22"/>
      <c r="D23" s="19" t="str">
        <f>IFERROR((VLOOKUP(A23,'API - io'!$A:$G,2,0)),"-")</f>
        <v>-</v>
      </c>
      <c r="E23" s="19" t="str">
        <f>IFERROR((VLOOKUP(A23,'API - io'!$A:$G,3,0)),"-")</f>
        <v>-</v>
      </c>
      <c r="F23" s="19" t="str">
        <f>IFERROR((VLOOKUP(A23,'API - io'!$A:$G,4,0)),"-")</f>
        <v>-</v>
      </c>
      <c r="G23" s="19" t="str">
        <f>IFERROR((VLOOKUP(A23,'API - io'!$A:$G,5,0)),"-")</f>
        <v>-</v>
      </c>
      <c r="H23" s="20" t="str">
        <f>IFERROR((VLOOKUP(A23,'API - io'!$A:$G,6,0)),"-")</f>
        <v>-</v>
      </c>
      <c r="I23" s="19" t="str">
        <f>IFERROR((VLOOKUP(A23,'API - io'!$A:$G,7,0)),"-")</f>
        <v>-</v>
      </c>
    </row>
    <row r="24" spans="1:9" x14ac:dyDescent="0.3">
      <c r="A24" s="22"/>
      <c r="B24" s="22"/>
      <c r="C24" s="22"/>
      <c r="D24" s="19" t="str">
        <f>IFERROR((VLOOKUP(A24,'API - io'!$A:$G,2,0)),"-")</f>
        <v>-</v>
      </c>
      <c r="E24" s="19" t="str">
        <f>IFERROR((VLOOKUP(A24,'API - io'!$A:$G,3,0)),"-")</f>
        <v>-</v>
      </c>
      <c r="F24" s="19" t="str">
        <f>IFERROR((VLOOKUP(A24,'API - io'!$A:$G,4,0)),"-")</f>
        <v>-</v>
      </c>
      <c r="G24" s="19" t="str">
        <f>IFERROR((VLOOKUP(A24,'API - io'!$A:$G,5,0)),"-")</f>
        <v>-</v>
      </c>
      <c r="H24" s="20" t="str">
        <f>IFERROR((VLOOKUP(A24,'API - io'!$A:$G,6,0)),"-")</f>
        <v>-</v>
      </c>
      <c r="I24" s="19" t="str">
        <f>IFERROR((VLOOKUP(A24,'API - io'!$A:$G,7,0)),"-")</f>
        <v>-</v>
      </c>
    </row>
    <row r="25" spans="1:9" x14ac:dyDescent="0.3">
      <c r="A25" s="22"/>
      <c r="B25" s="22"/>
      <c r="C25" s="22"/>
      <c r="D25" s="19" t="str">
        <f>IFERROR((VLOOKUP(A25,'API - io'!$A:$G,2,0)),"-")</f>
        <v>-</v>
      </c>
      <c r="E25" s="19" t="str">
        <f>IFERROR((VLOOKUP(A25,'API - io'!$A:$G,3,0)),"-")</f>
        <v>-</v>
      </c>
      <c r="F25" s="19" t="str">
        <f>IFERROR((VLOOKUP(A25,'API - io'!$A:$G,4,0)),"-")</f>
        <v>-</v>
      </c>
      <c r="G25" s="19" t="str">
        <f>IFERROR((VLOOKUP(A25,'API - io'!$A:$G,5,0)),"-")</f>
        <v>-</v>
      </c>
      <c r="H25" s="20" t="str">
        <f>IFERROR((VLOOKUP(A25,'API - io'!$A:$G,6,0)),"-")</f>
        <v>-</v>
      </c>
      <c r="I25" s="19" t="str">
        <f>IFERROR((VLOOKUP(A25,'API - io'!$A:$G,7,0)),"-")</f>
        <v>-</v>
      </c>
    </row>
    <row r="26" spans="1:9" x14ac:dyDescent="0.3">
      <c r="A26" s="22"/>
      <c r="B26" s="22"/>
      <c r="C26" s="22"/>
      <c r="D26" s="19" t="str">
        <f>IFERROR((VLOOKUP(A26,'API - io'!$A:$G,2,0)),"-")</f>
        <v>-</v>
      </c>
      <c r="E26" s="19" t="str">
        <f>IFERROR((VLOOKUP(A26,'API - io'!$A:$G,3,0)),"-")</f>
        <v>-</v>
      </c>
      <c r="F26" s="19" t="str">
        <f>IFERROR((VLOOKUP(A26,'API - io'!$A:$G,4,0)),"-")</f>
        <v>-</v>
      </c>
      <c r="G26" s="19" t="str">
        <f>IFERROR((VLOOKUP(A26,'API - io'!$A:$G,5,0)),"-")</f>
        <v>-</v>
      </c>
      <c r="H26" s="20" t="str">
        <f>IFERROR((VLOOKUP(A26,'API - io'!$A:$G,6,0)),"-")</f>
        <v>-</v>
      </c>
      <c r="I26" s="19" t="str">
        <f>IFERROR((VLOOKUP(A26,'API - io'!$A:$G,7,0)),"-")</f>
        <v>-</v>
      </c>
    </row>
    <row r="27" spans="1:9" x14ac:dyDescent="0.3">
      <c r="A27" s="22"/>
      <c r="B27" s="22"/>
      <c r="C27" s="22"/>
      <c r="D27" s="19" t="str">
        <f>IFERROR((VLOOKUP(A27,'API - io'!$A:$G,2,0)),"-")</f>
        <v>-</v>
      </c>
      <c r="E27" s="19" t="str">
        <f>IFERROR((VLOOKUP(A27,'API - io'!$A:$G,3,0)),"-")</f>
        <v>-</v>
      </c>
      <c r="F27" s="19" t="str">
        <f>IFERROR((VLOOKUP(A27,'API - io'!$A:$G,4,0)),"-")</f>
        <v>-</v>
      </c>
      <c r="G27" s="19" t="str">
        <f>IFERROR((VLOOKUP(A27,'API - io'!$A:$G,5,0)),"-")</f>
        <v>-</v>
      </c>
      <c r="H27" s="20" t="str">
        <f>IFERROR((VLOOKUP(A27,'API - io'!$A:$G,6,0)),"-")</f>
        <v>-</v>
      </c>
      <c r="I27" s="19" t="str">
        <f>IFERROR((VLOOKUP(A27,'API - io'!$A:$G,7,0)),"-")</f>
        <v>-</v>
      </c>
    </row>
    <row r="28" spans="1:9" x14ac:dyDescent="0.3">
      <c r="A28" s="22"/>
      <c r="B28" s="22"/>
      <c r="C28" s="22"/>
      <c r="D28" s="19" t="str">
        <f>IFERROR((VLOOKUP(A28,'API - io'!$A:$G,2,0)),"-")</f>
        <v>-</v>
      </c>
      <c r="E28" s="19" t="str">
        <f>IFERROR((VLOOKUP(A28,'API - io'!$A:$G,3,0)),"-")</f>
        <v>-</v>
      </c>
      <c r="F28" s="19" t="str">
        <f>IFERROR((VLOOKUP(A28,'API - io'!$A:$G,4,0)),"-")</f>
        <v>-</v>
      </c>
      <c r="G28" s="19" t="str">
        <f>IFERROR((VLOOKUP(A28,'API - io'!$A:$G,5,0)),"-")</f>
        <v>-</v>
      </c>
      <c r="H28" s="20" t="str">
        <f>IFERROR((VLOOKUP(A28,'API - io'!$A:$G,6,0)),"-")</f>
        <v>-</v>
      </c>
      <c r="I28" s="19" t="str">
        <f>IFERROR((VLOOKUP(A28,'API - io'!$A:$G,7,0)),"-")</f>
        <v>-</v>
      </c>
    </row>
    <row r="29" spans="1:9" x14ac:dyDescent="0.3">
      <c r="A29" s="22"/>
      <c r="B29" s="22"/>
      <c r="C29" s="22"/>
      <c r="D29" s="19" t="str">
        <f>IFERROR((VLOOKUP(A29,'API - io'!$A:$G,2,0)),"-")</f>
        <v>-</v>
      </c>
      <c r="E29" s="19" t="str">
        <f>IFERROR((VLOOKUP(A29,'API - io'!$A:$G,3,0)),"-")</f>
        <v>-</v>
      </c>
      <c r="F29" s="19" t="str">
        <f>IFERROR((VLOOKUP(A29,'API - io'!$A:$G,4,0)),"-")</f>
        <v>-</v>
      </c>
      <c r="G29" s="19" t="str">
        <f>IFERROR((VLOOKUP(A29,'API - io'!$A:$G,5,0)),"-")</f>
        <v>-</v>
      </c>
      <c r="H29" s="20" t="str">
        <f>IFERROR((VLOOKUP(A29,'API - io'!$A:$G,6,0)),"-")</f>
        <v>-</v>
      </c>
      <c r="I29" s="19" t="str">
        <f>IFERROR((VLOOKUP(A29,'API - io'!$A:$G,7,0)),"-")</f>
        <v>-</v>
      </c>
    </row>
    <row r="30" spans="1:9" x14ac:dyDescent="0.3">
      <c r="A30" s="22"/>
      <c r="B30" s="22"/>
      <c r="C30" s="22"/>
      <c r="D30" s="19" t="str">
        <f>IFERROR((VLOOKUP(A30,'API - io'!$A:$G,2,0)),"-")</f>
        <v>-</v>
      </c>
      <c r="E30" s="19" t="str">
        <f>IFERROR((VLOOKUP(A30,'API - io'!$A:$G,3,0)),"-")</f>
        <v>-</v>
      </c>
      <c r="F30" s="19" t="str">
        <f>IFERROR((VLOOKUP(A30,'API - io'!$A:$G,4,0)),"-")</f>
        <v>-</v>
      </c>
      <c r="G30" s="19" t="str">
        <f>IFERROR((VLOOKUP(A30,'API - io'!$A:$G,5,0)),"-")</f>
        <v>-</v>
      </c>
      <c r="H30" s="20" t="str">
        <f>IFERROR((VLOOKUP(A30,'API - io'!$A:$G,6,0)),"-")</f>
        <v>-</v>
      </c>
      <c r="I30" s="19" t="str">
        <f>IFERROR((VLOOKUP(A30,'API - io'!$A:$G,7,0)),"-")</f>
        <v>-</v>
      </c>
    </row>
    <row r="31" spans="1:9" x14ac:dyDescent="0.3">
      <c r="A31" s="22"/>
      <c r="B31" s="22"/>
      <c r="C31" s="22"/>
      <c r="D31" s="19" t="str">
        <f>IFERROR((VLOOKUP(A31,'API - io'!$A:$G,2,0)),"-")</f>
        <v>-</v>
      </c>
      <c r="E31" s="19" t="str">
        <f>IFERROR((VLOOKUP(A31,'API - io'!$A:$G,3,0)),"-")</f>
        <v>-</v>
      </c>
      <c r="F31" s="19" t="str">
        <f>IFERROR((VLOOKUP(A31,'API - io'!$A:$G,4,0)),"-")</f>
        <v>-</v>
      </c>
      <c r="G31" s="19" t="str">
        <f>IFERROR((VLOOKUP(A31,'API - io'!$A:$G,5,0)),"-")</f>
        <v>-</v>
      </c>
      <c r="H31" s="20" t="str">
        <f>IFERROR((VLOOKUP(A31,'API - io'!$A:$G,6,0)),"-")</f>
        <v>-</v>
      </c>
      <c r="I31" s="19" t="str">
        <f>IFERROR((VLOOKUP(A31,'API - io'!$A:$G,7,0)),"-")</f>
        <v>-</v>
      </c>
    </row>
    <row r="32" spans="1:9" x14ac:dyDescent="0.3">
      <c r="A32" s="22"/>
      <c r="B32" s="22"/>
      <c r="C32" s="22"/>
      <c r="D32" s="19" t="str">
        <f>IFERROR((VLOOKUP(A32,'API - io'!$A:$G,2,0)),"-")</f>
        <v>-</v>
      </c>
      <c r="E32" s="19" t="str">
        <f>IFERROR((VLOOKUP(A32,'API - io'!$A:$G,3,0)),"-")</f>
        <v>-</v>
      </c>
      <c r="F32" s="19" t="str">
        <f>IFERROR((VLOOKUP(A32,'API - io'!$A:$G,4,0)),"-")</f>
        <v>-</v>
      </c>
      <c r="G32" s="19" t="str">
        <f>IFERROR((VLOOKUP(A32,'API - io'!$A:$G,5,0)),"-")</f>
        <v>-</v>
      </c>
      <c r="H32" s="20" t="str">
        <f>IFERROR((VLOOKUP(A32,'API - io'!$A:$G,6,0)),"-")</f>
        <v>-</v>
      </c>
      <c r="I32" s="19" t="str">
        <f>IFERROR((VLOOKUP(A32,'API - io'!$A:$G,7,0)),"-")</f>
        <v>-</v>
      </c>
    </row>
    <row r="33" spans="1:9" x14ac:dyDescent="0.3">
      <c r="A33" s="22"/>
      <c r="B33" s="22"/>
      <c r="C33" s="22"/>
      <c r="D33" s="19" t="str">
        <f>IFERROR((VLOOKUP(A33,'API - io'!$A:$G,2,0)),"-")</f>
        <v>-</v>
      </c>
      <c r="E33" s="19" t="str">
        <f>IFERROR((VLOOKUP(A33,'API - io'!$A:$G,3,0)),"-")</f>
        <v>-</v>
      </c>
      <c r="F33" s="19" t="str">
        <f>IFERROR((VLOOKUP(A33,'API - io'!$A:$G,4,0)),"-")</f>
        <v>-</v>
      </c>
      <c r="G33" s="19" t="str">
        <f>IFERROR((VLOOKUP(A33,'API - io'!$A:$G,5,0)),"-")</f>
        <v>-</v>
      </c>
      <c r="H33" s="20" t="str">
        <f>IFERROR((VLOOKUP(A33,'API - io'!$A:$G,6,0)),"-")</f>
        <v>-</v>
      </c>
      <c r="I33" s="19" t="str">
        <f>IFERROR((VLOOKUP(A33,'API - io'!$A:$G,7,0)),"-")</f>
        <v>-</v>
      </c>
    </row>
    <row r="34" spans="1:9" x14ac:dyDescent="0.3">
      <c r="A34" s="22"/>
      <c r="B34" s="22"/>
      <c r="C34" s="22"/>
      <c r="D34" s="19" t="str">
        <f>IFERROR((VLOOKUP(A34,'API - io'!$A:$G,2,0)),"-")</f>
        <v>-</v>
      </c>
      <c r="E34" s="19" t="str">
        <f>IFERROR((VLOOKUP(A34,'API - io'!$A:$G,3,0)),"-")</f>
        <v>-</v>
      </c>
      <c r="F34" s="19" t="str">
        <f>IFERROR((VLOOKUP(A34,'API - io'!$A:$G,4,0)),"-")</f>
        <v>-</v>
      </c>
      <c r="G34" s="19" t="str">
        <f>IFERROR((VLOOKUP(A34,'API - io'!$A:$G,5,0)),"-")</f>
        <v>-</v>
      </c>
      <c r="H34" s="20" t="str">
        <f>IFERROR((VLOOKUP(A34,'API - io'!$A:$G,6,0)),"-")</f>
        <v>-</v>
      </c>
      <c r="I34" s="19" t="str">
        <f>IFERROR((VLOOKUP(A34,'API - io'!$A:$G,7,0)),"-")</f>
        <v>-</v>
      </c>
    </row>
    <row r="35" spans="1:9" x14ac:dyDescent="0.3">
      <c r="A35" s="22"/>
      <c r="B35" s="22"/>
      <c r="C35" s="22"/>
      <c r="D35" s="19" t="str">
        <f>IFERROR((VLOOKUP(A35,'API - io'!$A:$G,2,0)),"-")</f>
        <v>-</v>
      </c>
      <c r="E35" s="19" t="str">
        <f>IFERROR((VLOOKUP(A35,'API - io'!$A:$G,3,0)),"-")</f>
        <v>-</v>
      </c>
      <c r="F35" s="19" t="str">
        <f>IFERROR((VLOOKUP(A35,'API - io'!$A:$G,4,0)),"-")</f>
        <v>-</v>
      </c>
      <c r="G35" s="19" t="str">
        <f>IFERROR((VLOOKUP(A35,'API - io'!$A:$G,5,0)),"-")</f>
        <v>-</v>
      </c>
      <c r="H35" s="20" t="str">
        <f>IFERROR((VLOOKUP(A35,'API - io'!$A:$G,6,0)),"-")</f>
        <v>-</v>
      </c>
      <c r="I35" s="19" t="str">
        <f>IFERROR((VLOOKUP(A35,'API - io'!$A:$G,7,0)),"-")</f>
        <v>-</v>
      </c>
    </row>
    <row r="36" spans="1:9" x14ac:dyDescent="0.3">
      <c r="A36" s="22"/>
      <c r="B36" s="22"/>
      <c r="C36" s="22"/>
      <c r="D36" s="19" t="str">
        <f>IFERROR((VLOOKUP(A36,'API - io'!$A:$G,2,0)),"-")</f>
        <v>-</v>
      </c>
      <c r="E36" s="19" t="str">
        <f>IFERROR((VLOOKUP(A36,'API - io'!$A:$G,3,0)),"-")</f>
        <v>-</v>
      </c>
      <c r="F36" s="19" t="str">
        <f>IFERROR((VLOOKUP(A36,'API - io'!$A:$G,4,0)),"-")</f>
        <v>-</v>
      </c>
      <c r="G36" s="19" t="str">
        <f>IFERROR((VLOOKUP(A36,'API - io'!$A:$G,5,0)),"-")</f>
        <v>-</v>
      </c>
      <c r="H36" s="20" t="str">
        <f>IFERROR((VLOOKUP(A36,'API - io'!$A:$G,6,0)),"-")</f>
        <v>-</v>
      </c>
      <c r="I36" s="19" t="str">
        <f>IFERROR((VLOOKUP(A36,'API - io'!$A:$G,7,0)),"-")</f>
        <v>-</v>
      </c>
    </row>
    <row r="37" spans="1:9" x14ac:dyDescent="0.3">
      <c r="A37" s="22"/>
      <c r="B37" s="22"/>
      <c r="C37" s="22"/>
      <c r="D37" s="19" t="str">
        <f>IFERROR((VLOOKUP(A37,'API - io'!$A:$G,2,0)),"-")</f>
        <v>-</v>
      </c>
      <c r="E37" s="19" t="str">
        <f>IFERROR((VLOOKUP(A37,'API - io'!$A:$G,3,0)),"-")</f>
        <v>-</v>
      </c>
      <c r="F37" s="19" t="str">
        <f>IFERROR((VLOOKUP(A37,'API - io'!$A:$G,4,0)),"-")</f>
        <v>-</v>
      </c>
      <c r="G37" s="19" t="str">
        <f>IFERROR((VLOOKUP(A37,'API - io'!$A:$G,5,0)),"-")</f>
        <v>-</v>
      </c>
      <c r="H37" s="20" t="str">
        <f>IFERROR((VLOOKUP(A37,'API - io'!$A:$G,6,0)),"-")</f>
        <v>-</v>
      </c>
      <c r="I37" s="19" t="str">
        <f>IFERROR((VLOOKUP(A37,'API - io'!$A:$G,7,0)),"-")</f>
        <v>-</v>
      </c>
    </row>
    <row r="38" spans="1:9" x14ac:dyDescent="0.3">
      <c r="A38" s="22"/>
      <c r="B38" s="22"/>
      <c r="C38" s="22"/>
      <c r="D38" s="19" t="str">
        <f>IFERROR((VLOOKUP(A38,'API - io'!$A:$G,2,0)),"-")</f>
        <v>-</v>
      </c>
      <c r="E38" s="19" t="str">
        <f>IFERROR((VLOOKUP(A38,'API - io'!$A:$G,3,0)),"-")</f>
        <v>-</v>
      </c>
      <c r="F38" s="19" t="str">
        <f>IFERROR((VLOOKUP(A38,'API - io'!$A:$G,4,0)),"-")</f>
        <v>-</v>
      </c>
      <c r="G38" s="19" t="str">
        <f>IFERROR((VLOOKUP(A38,'API - io'!$A:$G,5,0)),"-")</f>
        <v>-</v>
      </c>
      <c r="H38" s="20" t="str">
        <f>IFERROR((VLOOKUP(A38,'API - io'!$A:$G,6,0)),"-")</f>
        <v>-</v>
      </c>
      <c r="I38" s="19" t="str">
        <f>IFERROR((VLOOKUP(A38,'API - io'!$A:$G,7,0)),"-")</f>
        <v>-</v>
      </c>
    </row>
    <row r="39" spans="1:9" x14ac:dyDescent="0.3">
      <c r="A39" s="22"/>
      <c r="B39" s="22"/>
      <c r="C39" s="22"/>
      <c r="D39" s="19" t="str">
        <f>IFERROR((VLOOKUP(A39,'API - io'!$A:$G,2,0)),"-")</f>
        <v>-</v>
      </c>
      <c r="E39" s="19" t="str">
        <f>IFERROR((VLOOKUP(A39,'API - io'!$A:$G,3,0)),"-")</f>
        <v>-</v>
      </c>
      <c r="F39" s="19" t="str">
        <f>IFERROR((VLOOKUP(A39,'API - io'!$A:$G,4,0)),"-")</f>
        <v>-</v>
      </c>
      <c r="G39" s="19" t="str">
        <f>IFERROR((VLOOKUP(A39,'API - io'!$A:$G,5,0)),"-")</f>
        <v>-</v>
      </c>
      <c r="H39" s="20" t="str">
        <f>IFERROR((VLOOKUP(A39,'API - io'!$A:$G,6,0)),"-")</f>
        <v>-</v>
      </c>
      <c r="I39" s="19" t="str">
        <f>IFERROR((VLOOKUP(A39,'API - io'!$A:$G,7,0)),"-")</f>
        <v>-</v>
      </c>
    </row>
    <row r="40" spans="1:9" x14ac:dyDescent="0.3">
      <c r="A40" s="22"/>
      <c r="B40" s="22"/>
      <c r="C40" s="22"/>
      <c r="D40" s="19" t="str">
        <f>IFERROR((VLOOKUP(A40,'API - io'!$A:$G,2,0)),"-")</f>
        <v>-</v>
      </c>
      <c r="E40" s="19" t="str">
        <f>IFERROR((VLOOKUP(A40,'API - io'!$A:$G,3,0)),"-")</f>
        <v>-</v>
      </c>
      <c r="F40" s="19" t="str">
        <f>IFERROR((VLOOKUP(A40,'API - io'!$A:$G,4,0)),"-")</f>
        <v>-</v>
      </c>
      <c r="G40" s="19" t="str">
        <f>IFERROR((VLOOKUP(A40,'API - io'!$A:$G,5,0)),"-")</f>
        <v>-</v>
      </c>
      <c r="H40" s="20" t="str">
        <f>IFERROR((VLOOKUP(A40,'API - io'!$A:$G,6,0)),"-")</f>
        <v>-</v>
      </c>
      <c r="I40" s="19" t="str">
        <f>IFERROR((VLOOKUP(A40,'API - io'!$A:$G,7,0)),"-")</f>
        <v>-</v>
      </c>
    </row>
    <row r="41" spans="1:9" x14ac:dyDescent="0.3">
      <c r="A41" s="22"/>
      <c r="B41" s="22"/>
      <c r="C41" s="22"/>
      <c r="D41" s="19" t="str">
        <f>IFERROR((VLOOKUP(A41,'API - io'!$A:$G,2,0)),"-")</f>
        <v>-</v>
      </c>
      <c r="E41" s="19" t="str">
        <f>IFERROR((VLOOKUP(A41,'API - io'!$A:$G,3,0)),"-")</f>
        <v>-</v>
      </c>
      <c r="F41" s="19" t="str">
        <f>IFERROR((VLOOKUP(A41,'API - io'!$A:$G,4,0)),"-")</f>
        <v>-</v>
      </c>
      <c r="G41" s="19" t="str">
        <f>IFERROR((VLOOKUP(A41,'API - io'!$A:$G,5,0)),"-")</f>
        <v>-</v>
      </c>
      <c r="H41" s="20" t="str">
        <f>IFERROR((VLOOKUP(A41,'API - io'!$A:$G,6,0)),"-")</f>
        <v>-</v>
      </c>
      <c r="I41" s="19" t="str">
        <f>IFERROR((VLOOKUP(A41,'API - io'!$A:$G,7,0)),"-")</f>
        <v>-</v>
      </c>
    </row>
    <row r="42" spans="1:9" x14ac:dyDescent="0.3">
      <c r="A42" s="22"/>
      <c r="B42" s="22"/>
      <c r="C42" s="22"/>
      <c r="D42" s="19" t="str">
        <f>IFERROR((VLOOKUP(A42,'API - io'!$A:$G,2,0)),"-")</f>
        <v>-</v>
      </c>
      <c r="E42" s="19" t="str">
        <f>IFERROR((VLOOKUP(A42,'API - io'!$A:$G,3,0)),"-")</f>
        <v>-</v>
      </c>
      <c r="F42" s="19" t="str">
        <f>IFERROR((VLOOKUP(A42,'API - io'!$A:$G,4,0)),"-")</f>
        <v>-</v>
      </c>
      <c r="G42" s="19" t="str">
        <f>IFERROR((VLOOKUP(A42,'API - io'!$A:$G,5,0)),"-")</f>
        <v>-</v>
      </c>
      <c r="H42" s="20" t="str">
        <f>IFERROR((VLOOKUP(A42,'API - io'!$A:$G,6,0)),"-")</f>
        <v>-</v>
      </c>
      <c r="I42" s="19" t="str">
        <f>IFERROR((VLOOKUP(A42,'API - io'!$A:$G,7,0)),"-")</f>
        <v>-</v>
      </c>
    </row>
    <row r="43" spans="1:9" x14ac:dyDescent="0.3">
      <c r="A43" s="22"/>
      <c r="B43" s="22"/>
      <c r="C43" s="22"/>
      <c r="D43" s="19" t="str">
        <f>IFERROR((VLOOKUP(A43,'API - io'!$A:$G,2,0)),"-")</f>
        <v>-</v>
      </c>
      <c r="E43" s="19" t="str">
        <f>IFERROR((VLOOKUP(A43,'API - io'!$A:$G,3,0)),"-")</f>
        <v>-</v>
      </c>
      <c r="F43" s="19" t="str">
        <f>IFERROR((VLOOKUP(A43,'API - io'!$A:$G,4,0)),"-")</f>
        <v>-</v>
      </c>
      <c r="G43" s="19" t="str">
        <f>IFERROR((VLOOKUP(A43,'API - io'!$A:$G,5,0)),"-")</f>
        <v>-</v>
      </c>
      <c r="H43" s="20" t="str">
        <f>IFERROR((VLOOKUP(A43,'API - io'!$A:$G,6,0)),"-")</f>
        <v>-</v>
      </c>
      <c r="I43" s="19" t="str">
        <f>IFERROR((VLOOKUP(A43,'API - io'!$A:$G,7,0)),"-")</f>
        <v>-</v>
      </c>
    </row>
    <row r="44" spans="1:9" x14ac:dyDescent="0.3">
      <c r="A44" s="22"/>
      <c r="B44" s="22"/>
      <c r="C44" s="22"/>
      <c r="D44" s="19" t="str">
        <f>IFERROR((VLOOKUP(A44,'API - io'!$A:$G,2,0)),"-")</f>
        <v>-</v>
      </c>
      <c r="E44" s="19" t="str">
        <f>IFERROR((VLOOKUP(A44,'API - io'!$A:$G,3,0)),"-")</f>
        <v>-</v>
      </c>
      <c r="F44" s="19" t="str">
        <f>IFERROR((VLOOKUP(A44,'API - io'!$A:$G,4,0)),"-")</f>
        <v>-</v>
      </c>
      <c r="G44" s="19" t="str">
        <f>IFERROR((VLOOKUP(A44,'API - io'!$A:$G,5,0)),"-")</f>
        <v>-</v>
      </c>
      <c r="H44" s="20" t="str">
        <f>IFERROR((VLOOKUP(A44,'API - io'!$A:$G,6,0)),"-")</f>
        <v>-</v>
      </c>
      <c r="I44" s="19" t="str">
        <f>IFERROR((VLOOKUP(A44,'API - io'!$A:$G,7,0)),"-")</f>
        <v>-</v>
      </c>
    </row>
    <row r="45" spans="1:9" x14ac:dyDescent="0.3">
      <c r="A45" s="22"/>
      <c r="B45" s="22"/>
      <c r="C45" s="22"/>
      <c r="D45" s="19" t="str">
        <f>IFERROR((VLOOKUP(A45,'API - io'!$A:$G,2,0)),"-")</f>
        <v>-</v>
      </c>
      <c r="E45" s="19" t="str">
        <f>IFERROR((VLOOKUP(A45,'API - io'!$A:$G,3,0)),"-")</f>
        <v>-</v>
      </c>
      <c r="F45" s="19" t="str">
        <f>IFERROR((VLOOKUP(A45,'API - io'!$A:$G,4,0)),"-")</f>
        <v>-</v>
      </c>
      <c r="G45" s="19" t="str">
        <f>IFERROR((VLOOKUP(A45,'API - io'!$A:$G,5,0)),"-")</f>
        <v>-</v>
      </c>
      <c r="H45" s="20" t="str">
        <f>IFERROR((VLOOKUP(A45,'API - io'!$A:$G,6,0)),"-")</f>
        <v>-</v>
      </c>
      <c r="I45" s="19" t="str">
        <f>IFERROR((VLOOKUP(A45,'API - io'!$A:$G,7,0)),"-")</f>
        <v>-</v>
      </c>
    </row>
    <row r="46" spans="1:9" x14ac:dyDescent="0.3">
      <c r="A46" s="22"/>
      <c r="B46" s="22"/>
      <c r="C46" s="22"/>
      <c r="D46" s="19" t="str">
        <f>IFERROR((VLOOKUP(A46,'API - io'!$A:$G,2,0)),"-")</f>
        <v>-</v>
      </c>
      <c r="E46" s="19" t="str">
        <f>IFERROR((VLOOKUP(A46,'API - io'!$A:$G,3,0)),"-")</f>
        <v>-</v>
      </c>
      <c r="F46" s="19" t="str">
        <f>IFERROR((VLOOKUP(A46,'API - io'!$A:$G,4,0)),"-")</f>
        <v>-</v>
      </c>
      <c r="G46" s="19" t="str">
        <f>IFERROR((VLOOKUP(A46,'API - io'!$A:$G,5,0)),"-")</f>
        <v>-</v>
      </c>
      <c r="H46" s="20" t="str">
        <f>IFERROR((VLOOKUP(A46,'API - io'!$A:$G,6,0)),"-")</f>
        <v>-</v>
      </c>
      <c r="I46" s="19" t="str">
        <f>IFERROR((VLOOKUP(A46,'API - io'!$A:$G,7,0)),"-")</f>
        <v>-</v>
      </c>
    </row>
    <row r="47" spans="1:9" x14ac:dyDescent="0.3">
      <c r="A47" s="22"/>
      <c r="B47" s="22"/>
      <c r="C47" s="22"/>
      <c r="D47" s="19" t="str">
        <f>IFERROR((VLOOKUP(A47,'API - io'!$A:$G,2,0)),"-")</f>
        <v>-</v>
      </c>
      <c r="E47" s="19" t="str">
        <f>IFERROR((VLOOKUP(A47,'API - io'!$A:$G,3,0)),"-")</f>
        <v>-</v>
      </c>
      <c r="F47" s="19" t="str">
        <f>IFERROR((VLOOKUP(A47,'API - io'!$A:$G,4,0)),"-")</f>
        <v>-</v>
      </c>
      <c r="G47" s="19" t="str">
        <f>IFERROR((VLOOKUP(A47,'API - io'!$A:$G,5,0)),"-")</f>
        <v>-</v>
      </c>
      <c r="H47" s="20" t="str">
        <f>IFERROR((VLOOKUP(A47,'API - io'!$A:$G,6,0)),"-")</f>
        <v>-</v>
      </c>
      <c r="I47" s="19" t="str">
        <f>IFERROR((VLOOKUP(A47,'API - io'!$A:$G,7,0)),"-")</f>
        <v>-</v>
      </c>
    </row>
    <row r="48" spans="1:9" x14ac:dyDescent="0.3">
      <c r="A48" s="22"/>
      <c r="B48" s="22"/>
      <c r="C48" s="22"/>
      <c r="D48" s="19" t="str">
        <f>IFERROR((VLOOKUP(A48,'API - io'!$A:$G,2,0)),"-")</f>
        <v>-</v>
      </c>
      <c r="E48" s="19" t="str">
        <f>IFERROR((VLOOKUP(A48,'API - io'!$A:$G,3,0)),"-")</f>
        <v>-</v>
      </c>
      <c r="F48" s="19" t="str">
        <f>IFERROR((VLOOKUP(A48,'API - io'!$A:$G,4,0)),"-")</f>
        <v>-</v>
      </c>
      <c r="G48" s="19" t="str">
        <f>IFERROR((VLOOKUP(A48,'API - io'!$A:$G,5,0)),"-")</f>
        <v>-</v>
      </c>
      <c r="H48" s="20" t="str">
        <f>IFERROR((VLOOKUP(A48,'API - io'!$A:$G,6,0)),"-")</f>
        <v>-</v>
      </c>
      <c r="I48" s="19" t="str">
        <f>IFERROR((VLOOKUP(A48,'API - io'!$A:$G,7,0)),"-")</f>
        <v>-</v>
      </c>
    </row>
    <row r="49" spans="1:9" x14ac:dyDescent="0.3">
      <c r="A49" s="22"/>
      <c r="B49" s="22"/>
      <c r="C49" s="22"/>
      <c r="D49" s="19" t="str">
        <f>IFERROR((VLOOKUP(A49,'API - io'!$A:$G,2,0)),"-")</f>
        <v>-</v>
      </c>
      <c r="E49" s="19" t="str">
        <f>IFERROR((VLOOKUP(A49,'API - io'!$A:$G,3,0)),"-")</f>
        <v>-</v>
      </c>
      <c r="F49" s="19" t="str">
        <f>IFERROR((VLOOKUP(A49,'API - io'!$A:$G,4,0)),"-")</f>
        <v>-</v>
      </c>
      <c r="G49" s="19" t="str">
        <f>IFERROR((VLOOKUP(A49,'API - io'!$A:$G,5,0)),"-")</f>
        <v>-</v>
      </c>
      <c r="H49" s="20" t="str">
        <f>IFERROR((VLOOKUP(A49,'API - io'!$A:$G,6,0)),"-")</f>
        <v>-</v>
      </c>
      <c r="I49" s="19" t="str">
        <f>IFERROR((VLOOKUP(A49,'API - io'!$A:$G,7,0)),"-")</f>
        <v>-</v>
      </c>
    </row>
    <row r="50" spans="1:9" x14ac:dyDescent="0.3">
      <c r="A50" s="22"/>
      <c r="B50" s="22"/>
      <c r="C50" s="22"/>
      <c r="D50" s="19" t="str">
        <f>IFERROR((VLOOKUP(A50,'API - io'!$A:$G,2,0)),"-")</f>
        <v>-</v>
      </c>
      <c r="E50" s="19" t="str">
        <f>IFERROR((VLOOKUP(A50,'API - io'!$A:$G,3,0)),"-")</f>
        <v>-</v>
      </c>
      <c r="F50" s="19" t="str">
        <f>IFERROR((VLOOKUP(A50,'API - io'!$A:$G,4,0)),"-")</f>
        <v>-</v>
      </c>
      <c r="G50" s="19" t="str">
        <f>IFERROR((VLOOKUP(A50,'API - io'!$A:$G,5,0)),"-")</f>
        <v>-</v>
      </c>
      <c r="H50" s="20" t="str">
        <f>IFERROR((VLOOKUP(A50,'API - io'!$A:$G,6,0)),"-")</f>
        <v>-</v>
      </c>
      <c r="I50" s="19" t="str">
        <f>IFERROR((VLOOKUP(A50,'API - io'!$A:$G,7,0)),"-")</f>
        <v>-</v>
      </c>
    </row>
    <row r="51" spans="1:9" x14ac:dyDescent="0.3">
      <c r="A51" s="22"/>
      <c r="B51" s="22"/>
      <c r="C51" s="22"/>
      <c r="D51" s="19" t="str">
        <f>IFERROR((VLOOKUP(A51,'API - io'!$A:$G,2,0)),"-")</f>
        <v>-</v>
      </c>
      <c r="E51" s="19" t="str">
        <f>IFERROR((VLOOKUP(A51,'API - io'!$A:$G,3,0)),"-")</f>
        <v>-</v>
      </c>
      <c r="F51" s="19" t="str">
        <f>IFERROR((VLOOKUP(A51,'API - io'!$A:$G,4,0)),"-")</f>
        <v>-</v>
      </c>
      <c r="G51" s="19" t="str">
        <f>IFERROR((VLOOKUP(A51,'API - io'!$A:$G,5,0)),"-")</f>
        <v>-</v>
      </c>
      <c r="H51" s="20" t="str">
        <f>IFERROR((VLOOKUP(A51,'API - io'!$A:$G,6,0)),"-")</f>
        <v>-</v>
      </c>
      <c r="I51" s="19" t="str">
        <f>IFERROR((VLOOKUP(A51,'API - io'!$A:$G,7,0)),"-")</f>
        <v>-</v>
      </c>
    </row>
    <row r="52" spans="1:9" x14ac:dyDescent="0.3">
      <c r="A52" s="22"/>
      <c r="B52" s="22"/>
      <c r="C52" s="22"/>
      <c r="D52" s="19" t="str">
        <f>IFERROR((VLOOKUP(A52,'API - io'!$A:$G,2,0)),"-")</f>
        <v>-</v>
      </c>
      <c r="E52" s="19" t="str">
        <f>IFERROR((VLOOKUP(A52,'API - io'!$A:$G,3,0)),"-")</f>
        <v>-</v>
      </c>
      <c r="F52" s="19" t="str">
        <f>IFERROR((VLOOKUP(A52,'API - io'!$A:$G,4,0)),"-")</f>
        <v>-</v>
      </c>
      <c r="G52" s="19" t="str">
        <f>IFERROR((VLOOKUP(A52,'API - io'!$A:$G,5,0)),"-")</f>
        <v>-</v>
      </c>
      <c r="H52" s="20" t="str">
        <f>IFERROR((VLOOKUP(A52,'API - io'!$A:$G,6,0)),"-")</f>
        <v>-</v>
      </c>
      <c r="I52" s="19" t="str">
        <f>IFERROR((VLOOKUP(A52,'API - io'!$A:$G,7,0)),"-")</f>
        <v>-</v>
      </c>
    </row>
    <row r="53" spans="1:9" x14ac:dyDescent="0.3">
      <c r="A53" s="22"/>
      <c r="B53" s="22"/>
      <c r="C53" s="22"/>
      <c r="D53" s="19" t="str">
        <f>IFERROR((VLOOKUP(A53,'API - io'!$A:$G,2,0)),"-")</f>
        <v>-</v>
      </c>
      <c r="E53" s="19" t="str">
        <f>IFERROR((VLOOKUP(A53,'API - io'!$A:$G,3,0)),"-")</f>
        <v>-</v>
      </c>
      <c r="F53" s="19" t="str">
        <f>IFERROR((VLOOKUP(A53,'API - io'!$A:$G,4,0)),"-")</f>
        <v>-</v>
      </c>
      <c r="G53" s="19" t="str">
        <f>IFERROR((VLOOKUP(A53,'API - io'!$A:$G,5,0)),"-")</f>
        <v>-</v>
      </c>
      <c r="H53" s="20" t="str">
        <f>IFERROR((VLOOKUP(A53,'API - io'!$A:$G,6,0)),"-")</f>
        <v>-</v>
      </c>
      <c r="I53" s="19" t="str">
        <f>IFERROR((VLOOKUP(A53,'API - io'!$A:$G,7,0)),"-")</f>
        <v>-</v>
      </c>
    </row>
    <row r="54" spans="1:9" x14ac:dyDescent="0.3">
      <c r="A54" s="22"/>
      <c r="B54" s="22"/>
      <c r="C54" s="22"/>
      <c r="D54" s="19" t="str">
        <f>IFERROR((VLOOKUP(A54,'API - io'!$A:$G,2,0)),"-")</f>
        <v>-</v>
      </c>
      <c r="E54" s="19" t="str">
        <f>IFERROR((VLOOKUP(A54,'API - io'!$A:$G,3,0)),"-")</f>
        <v>-</v>
      </c>
      <c r="F54" s="19" t="str">
        <f>IFERROR((VLOOKUP(A54,'API - io'!$A:$G,4,0)),"-")</f>
        <v>-</v>
      </c>
      <c r="G54" s="19" t="str">
        <f>IFERROR((VLOOKUP(A54,'API - io'!$A:$G,5,0)),"-")</f>
        <v>-</v>
      </c>
      <c r="H54" s="20" t="str">
        <f>IFERROR((VLOOKUP(A54,'API - io'!$A:$G,6,0)),"-")</f>
        <v>-</v>
      </c>
      <c r="I54" s="19" t="str">
        <f>IFERROR((VLOOKUP(A54,'API - io'!$A:$G,7,0)),"-")</f>
        <v>-</v>
      </c>
    </row>
    <row r="55" spans="1:9" x14ac:dyDescent="0.3">
      <c r="A55" s="22"/>
      <c r="B55" s="22"/>
      <c r="C55" s="22"/>
      <c r="D55" s="19" t="str">
        <f>IFERROR((VLOOKUP(A55,'API - io'!$A:$G,2,0)),"-")</f>
        <v>-</v>
      </c>
      <c r="E55" s="19" t="str">
        <f>IFERROR((VLOOKUP(A55,'API - io'!$A:$G,3,0)),"-")</f>
        <v>-</v>
      </c>
      <c r="F55" s="19" t="str">
        <f>IFERROR((VLOOKUP(A55,'API - io'!$A:$G,4,0)),"-")</f>
        <v>-</v>
      </c>
      <c r="G55" s="19" t="str">
        <f>IFERROR((VLOOKUP(A55,'API - io'!$A:$G,5,0)),"-")</f>
        <v>-</v>
      </c>
      <c r="H55" s="20" t="str">
        <f>IFERROR((VLOOKUP(A55,'API - io'!$A:$G,6,0)),"-")</f>
        <v>-</v>
      </c>
      <c r="I55" s="19" t="str">
        <f>IFERROR((VLOOKUP(A55,'API - io'!$A:$G,7,0)),"-")</f>
        <v>-</v>
      </c>
    </row>
    <row r="56" spans="1:9" x14ac:dyDescent="0.3">
      <c r="A56" s="22"/>
      <c r="B56" s="22"/>
      <c r="C56" s="22"/>
      <c r="D56" s="19" t="str">
        <f>IFERROR((VLOOKUP(A56,'API - io'!$A:$G,2,0)),"-")</f>
        <v>-</v>
      </c>
      <c r="E56" s="19" t="str">
        <f>IFERROR((VLOOKUP(A56,'API - io'!$A:$G,3,0)),"-")</f>
        <v>-</v>
      </c>
      <c r="F56" s="19" t="str">
        <f>IFERROR((VLOOKUP(A56,'API - io'!$A:$G,4,0)),"-")</f>
        <v>-</v>
      </c>
      <c r="G56" s="19" t="str">
        <f>IFERROR((VLOOKUP(A56,'API - io'!$A:$G,5,0)),"-")</f>
        <v>-</v>
      </c>
      <c r="H56" s="20" t="str">
        <f>IFERROR((VLOOKUP(A56,'API - io'!$A:$G,6,0)),"-")</f>
        <v>-</v>
      </c>
      <c r="I56" s="19" t="str">
        <f>IFERROR((VLOOKUP(A56,'API - io'!$A:$G,7,0)),"-")</f>
        <v>-</v>
      </c>
    </row>
    <row r="57" spans="1:9" x14ac:dyDescent="0.3">
      <c r="A57" s="22"/>
      <c r="B57" s="22"/>
      <c r="C57" s="22"/>
      <c r="D57" s="19" t="str">
        <f>IFERROR((VLOOKUP(A57,'API - io'!$A:$G,2,0)),"-")</f>
        <v>-</v>
      </c>
      <c r="E57" s="19" t="str">
        <f>IFERROR((VLOOKUP(A57,'API - io'!$A:$G,3,0)),"-")</f>
        <v>-</v>
      </c>
      <c r="F57" s="19" t="str">
        <f>IFERROR((VLOOKUP(A57,'API - io'!$A:$G,4,0)),"-")</f>
        <v>-</v>
      </c>
      <c r="G57" s="19" t="str">
        <f>IFERROR((VLOOKUP(A57,'API - io'!$A:$G,5,0)),"-")</f>
        <v>-</v>
      </c>
      <c r="H57" s="20" t="str">
        <f>IFERROR((VLOOKUP(A57,'API - io'!$A:$G,6,0)),"-")</f>
        <v>-</v>
      </c>
      <c r="I57" s="19" t="str">
        <f>IFERROR((VLOOKUP(A57,'API - io'!$A:$G,7,0)),"-")</f>
        <v>-</v>
      </c>
    </row>
    <row r="58" spans="1:9" x14ac:dyDescent="0.3">
      <c r="A58" s="22"/>
      <c r="B58" s="22"/>
      <c r="C58" s="22"/>
      <c r="D58" s="19" t="str">
        <f>IFERROR((VLOOKUP(A58,'API - io'!$A:$G,2,0)),"-")</f>
        <v>-</v>
      </c>
      <c r="E58" s="19" t="str">
        <f>IFERROR((VLOOKUP(A58,'API - io'!$A:$G,3,0)),"-")</f>
        <v>-</v>
      </c>
      <c r="F58" s="19" t="str">
        <f>IFERROR((VLOOKUP(A58,'API - io'!$A:$G,4,0)),"-")</f>
        <v>-</v>
      </c>
      <c r="G58" s="19" t="str">
        <f>IFERROR((VLOOKUP(A58,'API - io'!$A:$G,5,0)),"-")</f>
        <v>-</v>
      </c>
      <c r="H58" s="20" t="str">
        <f>IFERROR((VLOOKUP(A58,'API - io'!$A:$G,6,0)),"-")</f>
        <v>-</v>
      </c>
      <c r="I58" s="19" t="str">
        <f>IFERROR((VLOOKUP(A58,'API - io'!$A:$G,7,0)),"-")</f>
        <v>-</v>
      </c>
    </row>
    <row r="59" spans="1:9" x14ac:dyDescent="0.3">
      <c r="A59" s="22"/>
      <c r="B59" s="22"/>
      <c r="C59" s="22"/>
      <c r="D59" s="19" t="str">
        <f>IFERROR((VLOOKUP(A59,'API - io'!$A:$G,2,0)),"-")</f>
        <v>-</v>
      </c>
      <c r="E59" s="19" t="str">
        <f>IFERROR((VLOOKUP(A59,'API - io'!$A:$G,3,0)),"-")</f>
        <v>-</v>
      </c>
      <c r="F59" s="19" t="str">
        <f>IFERROR((VLOOKUP(A59,'API - io'!$A:$G,4,0)),"-")</f>
        <v>-</v>
      </c>
      <c r="G59" s="19" t="str">
        <f>IFERROR((VLOOKUP(A59,'API - io'!$A:$G,5,0)),"-")</f>
        <v>-</v>
      </c>
      <c r="H59" s="20" t="str">
        <f>IFERROR((VLOOKUP(A59,'API - io'!$A:$G,6,0)),"-")</f>
        <v>-</v>
      </c>
      <c r="I59" s="19" t="str">
        <f>IFERROR((VLOOKUP(A59,'API - io'!$A:$G,7,0)),"-")</f>
        <v>-</v>
      </c>
    </row>
    <row r="60" spans="1:9" x14ac:dyDescent="0.3">
      <c r="A60" s="22"/>
      <c r="B60" s="22"/>
      <c r="C60" s="22"/>
      <c r="D60" s="19" t="str">
        <f>IFERROR((VLOOKUP(A60,'API - io'!$A:$G,2,0)),"-")</f>
        <v>-</v>
      </c>
      <c r="E60" s="19" t="str">
        <f>IFERROR((VLOOKUP(A60,'API - io'!$A:$G,3,0)),"-")</f>
        <v>-</v>
      </c>
      <c r="F60" s="19" t="str">
        <f>IFERROR((VLOOKUP(A60,'API - io'!$A:$G,4,0)),"-")</f>
        <v>-</v>
      </c>
      <c r="G60" s="19" t="str">
        <f>IFERROR((VLOOKUP(A60,'API - io'!$A:$G,5,0)),"-")</f>
        <v>-</v>
      </c>
      <c r="H60" s="20" t="str">
        <f>IFERROR((VLOOKUP(A60,'API - io'!$A:$G,6,0)),"-")</f>
        <v>-</v>
      </c>
      <c r="I60" s="19" t="str">
        <f>IFERROR((VLOOKUP(A60,'API - io'!$A:$G,7,0)),"-")</f>
        <v>-</v>
      </c>
    </row>
    <row r="61" spans="1:9" x14ac:dyDescent="0.3">
      <c r="A61" s="22"/>
      <c r="B61" s="22"/>
      <c r="C61" s="22"/>
      <c r="D61" s="19" t="str">
        <f>IFERROR((VLOOKUP(A61,'API - io'!$A:$G,2,0)),"-")</f>
        <v>-</v>
      </c>
      <c r="E61" s="19" t="str">
        <f>IFERROR((VLOOKUP(A61,'API - io'!$A:$G,3,0)),"-")</f>
        <v>-</v>
      </c>
      <c r="F61" s="19" t="str">
        <f>IFERROR((VLOOKUP(A61,'API - io'!$A:$G,4,0)),"-")</f>
        <v>-</v>
      </c>
      <c r="G61" s="19" t="str">
        <f>IFERROR((VLOOKUP(A61,'API - io'!$A:$G,5,0)),"-")</f>
        <v>-</v>
      </c>
      <c r="H61" s="20" t="str">
        <f>IFERROR((VLOOKUP(A61,'API - io'!$A:$G,6,0)),"-")</f>
        <v>-</v>
      </c>
      <c r="I61" s="19" t="str">
        <f>IFERROR((VLOOKUP(A61,'API - io'!$A:$G,7,0)),"-")</f>
        <v>-</v>
      </c>
    </row>
    <row r="62" spans="1:9" x14ac:dyDescent="0.3">
      <c r="A62" s="22"/>
      <c r="B62" s="22"/>
      <c r="C62" s="22"/>
      <c r="D62" s="19" t="str">
        <f>IFERROR((VLOOKUP(A62,'API - io'!$A:$G,2,0)),"-")</f>
        <v>-</v>
      </c>
      <c r="E62" s="19" t="str">
        <f>IFERROR((VLOOKUP(A62,'API - io'!$A:$G,3,0)),"-")</f>
        <v>-</v>
      </c>
      <c r="F62" s="19" t="str">
        <f>IFERROR((VLOOKUP(A62,'API - io'!$A:$G,4,0)),"-")</f>
        <v>-</v>
      </c>
      <c r="G62" s="19" t="str">
        <f>IFERROR((VLOOKUP(A62,'API - io'!$A:$G,5,0)),"-")</f>
        <v>-</v>
      </c>
      <c r="H62" s="20" t="str">
        <f>IFERROR((VLOOKUP(A62,'API - io'!$A:$G,6,0)),"-")</f>
        <v>-</v>
      </c>
      <c r="I62" s="19" t="str">
        <f>IFERROR((VLOOKUP(A62,'API - io'!$A:$G,7,0)),"-")</f>
        <v>-</v>
      </c>
    </row>
    <row r="63" spans="1:9" x14ac:dyDescent="0.3">
      <c r="A63" s="22"/>
      <c r="B63" s="22"/>
      <c r="C63" s="22"/>
      <c r="D63" s="19" t="str">
        <f>IFERROR((VLOOKUP(A63,'API - io'!$A:$G,2,0)),"-")</f>
        <v>-</v>
      </c>
      <c r="E63" s="19" t="str">
        <f>IFERROR((VLOOKUP(A63,'API - io'!$A:$G,3,0)),"-")</f>
        <v>-</v>
      </c>
      <c r="F63" s="19" t="str">
        <f>IFERROR((VLOOKUP(A63,'API - io'!$A:$G,4,0)),"-")</f>
        <v>-</v>
      </c>
      <c r="G63" s="19" t="str">
        <f>IFERROR((VLOOKUP(A63,'API - io'!$A:$G,5,0)),"-")</f>
        <v>-</v>
      </c>
      <c r="H63" s="20" t="str">
        <f>IFERROR((VLOOKUP(A63,'API - io'!$A:$G,6,0)),"-")</f>
        <v>-</v>
      </c>
      <c r="I63" s="19" t="str">
        <f>IFERROR((VLOOKUP(A63,'API - io'!$A:$G,7,0)),"-")</f>
        <v>-</v>
      </c>
    </row>
    <row r="64" spans="1:9" x14ac:dyDescent="0.3">
      <c r="A64" s="22"/>
      <c r="B64" s="22"/>
      <c r="C64" s="22"/>
      <c r="D64" s="19" t="str">
        <f>IFERROR((VLOOKUP(A64,'API - io'!$A:$G,2,0)),"-")</f>
        <v>-</v>
      </c>
      <c r="E64" s="19" t="str">
        <f>IFERROR((VLOOKUP(A64,'API - io'!$A:$G,3,0)),"-")</f>
        <v>-</v>
      </c>
      <c r="F64" s="19" t="str">
        <f>IFERROR((VLOOKUP(A64,'API - io'!$A:$G,4,0)),"-")</f>
        <v>-</v>
      </c>
      <c r="G64" s="19" t="str">
        <f>IFERROR((VLOOKUP(A64,'API - io'!$A:$G,5,0)),"-")</f>
        <v>-</v>
      </c>
      <c r="H64" s="20" t="str">
        <f>IFERROR((VLOOKUP(A64,'API - io'!$A:$G,6,0)),"-")</f>
        <v>-</v>
      </c>
      <c r="I64" s="19" t="str">
        <f>IFERROR((VLOOKUP(A64,'API - io'!$A:$G,7,0)),"-")</f>
        <v>-</v>
      </c>
    </row>
    <row r="65" spans="1:9" x14ac:dyDescent="0.3">
      <c r="A65" s="22"/>
      <c r="B65" s="22"/>
      <c r="C65" s="22"/>
      <c r="D65" s="19" t="str">
        <f>IFERROR((VLOOKUP(A65,'API - io'!$A:$G,2,0)),"-")</f>
        <v>-</v>
      </c>
      <c r="E65" s="19" t="str">
        <f>IFERROR((VLOOKUP(A65,'API - io'!$A:$G,3,0)),"-")</f>
        <v>-</v>
      </c>
      <c r="F65" s="19" t="str">
        <f>IFERROR((VLOOKUP(A65,'API - io'!$A:$G,4,0)),"-")</f>
        <v>-</v>
      </c>
      <c r="G65" s="19" t="str">
        <f>IFERROR((VLOOKUP(A65,'API - io'!$A:$G,5,0)),"-")</f>
        <v>-</v>
      </c>
      <c r="H65" s="20" t="str">
        <f>IFERROR((VLOOKUP(A65,'API - io'!$A:$G,6,0)),"-")</f>
        <v>-</v>
      </c>
      <c r="I65" s="19" t="str">
        <f>IFERROR((VLOOKUP(A65,'API - io'!$A:$G,7,0)),"-")</f>
        <v>-</v>
      </c>
    </row>
    <row r="66" spans="1:9" x14ac:dyDescent="0.3">
      <c r="A66" s="22"/>
      <c r="B66" s="22"/>
      <c r="C66" s="22"/>
      <c r="D66" s="19" t="str">
        <f>IFERROR((VLOOKUP(A66,'API - io'!$A:$G,2,0)),"-")</f>
        <v>-</v>
      </c>
      <c r="E66" s="19" t="str">
        <f>IFERROR((VLOOKUP(A66,'API - io'!$A:$G,3,0)),"-")</f>
        <v>-</v>
      </c>
      <c r="F66" s="19" t="str">
        <f>IFERROR((VLOOKUP(A66,'API - io'!$A:$G,4,0)),"-")</f>
        <v>-</v>
      </c>
      <c r="G66" s="19" t="str">
        <f>IFERROR((VLOOKUP(A66,'API - io'!$A:$G,5,0)),"-")</f>
        <v>-</v>
      </c>
      <c r="H66" s="20" t="str">
        <f>IFERROR((VLOOKUP(A66,'API - io'!$A:$G,6,0)),"-")</f>
        <v>-</v>
      </c>
      <c r="I66" s="19" t="str">
        <f>IFERROR((VLOOKUP(A66,'API - io'!$A:$G,7,0)),"-")</f>
        <v>-</v>
      </c>
    </row>
    <row r="67" spans="1:9" x14ac:dyDescent="0.3">
      <c r="A67" s="22"/>
      <c r="B67" s="22"/>
      <c r="C67" s="22"/>
      <c r="D67" s="19" t="str">
        <f>IFERROR((VLOOKUP(A67,'API - io'!$A:$G,2,0)),"-")</f>
        <v>-</v>
      </c>
      <c r="E67" s="19" t="str">
        <f>IFERROR((VLOOKUP(A67,'API - io'!$A:$G,3,0)),"-")</f>
        <v>-</v>
      </c>
      <c r="F67" s="19" t="str">
        <f>IFERROR((VLOOKUP(A67,'API - io'!$A:$G,4,0)),"-")</f>
        <v>-</v>
      </c>
      <c r="G67" s="19" t="str">
        <f>IFERROR((VLOOKUP(A67,'API - io'!$A:$G,5,0)),"-")</f>
        <v>-</v>
      </c>
      <c r="H67" s="20" t="str">
        <f>IFERROR((VLOOKUP(A67,'API - io'!$A:$G,6,0)),"-")</f>
        <v>-</v>
      </c>
      <c r="I67" s="19" t="str">
        <f>IFERROR((VLOOKUP(A67,'API - io'!$A:$G,7,0)),"-")</f>
        <v>-</v>
      </c>
    </row>
    <row r="68" spans="1:9" x14ac:dyDescent="0.3">
      <c r="A68" s="22"/>
      <c r="B68" s="22"/>
      <c r="C68" s="22"/>
      <c r="D68" s="19" t="str">
        <f>IFERROR((VLOOKUP(A68,'API - io'!$A:$G,2,0)),"-")</f>
        <v>-</v>
      </c>
      <c r="E68" s="19" t="str">
        <f>IFERROR((VLOOKUP(A68,'API - io'!$A:$G,3,0)),"-")</f>
        <v>-</v>
      </c>
      <c r="F68" s="19" t="str">
        <f>IFERROR((VLOOKUP(A68,'API - io'!$A:$G,4,0)),"-")</f>
        <v>-</v>
      </c>
      <c r="G68" s="19" t="str">
        <f>IFERROR((VLOOKUP(A68,'API - io'!$A:$G,5,0)),"-")</f>
        <v>-</v>
      </c>
      <c r="H68" s="20" t="str">
        <f>IFERROR((VLOOKUP(A68,'API - io'!$A:$G,6,0)),"-")</f>
        <v>-</v>
      </c>
      <c r="I68" s="19" t="str">
        <f>IFERROR((VLOOKUP(A68,'API - io'!$A:$G,7,0)),"-")</f>
        <v>-</v>
      </c>
    </row>
    <row r="69" spans="1:9" x14ac:dyDescent="0.3">
      <c r="A69" s="22"/>
      <c r="B69" s="22"/>
      <c r="C69" s="22"/>
      <c r="D69" s="19" t="str">
        <f>IFERROR((VLOOKUP(A69,'API - io'!$A:$G,2,0)),"-")</f>
        <v>-</v>
      </c>
      <c r="E69" s="19" t="str">
        <f>IFERROR((VLOOKUP(A69,'API - io'!$A:$G,3,0)),"-")</f>
        <v>-</v>
      </c>
      <c r="F69" s="19" t="str">
        <f>IFERROR((VLOOKUP(A69,'API - io'!$A:$G,4,0)),"-")</f>
        <v>-</v>
      </c>
      <c r="G69" s="19" t="str">
        <f>IFERROR((VLOOKUP(A69,'API - io'!$A:$G,5,0)),"-")</f>
        <v>-</v>
      </c>
      <c r="H69" s="20" t="str">
        <f>IFERROR((VLOOKUP(A69,'API - io'!$A:$G,6,0)),"-")</f>
        <v>-</v>
      </c>
      <c r="I69" s="19" t="str">
        <f>IFERROR((VLOOKUP(A69,'API - io'!$A:$G,7,0)),"-")</f>
        <v>-</v>
      </c>
    </row>
    <row r="70" spans="1:9" x14ac:dyDescent="0.3">
      <c r="A70" s="22"/>
      <c r="B70" s="22"/>
      <c r="C70" s="22"/>
      <c r="D70" s="19" t="str">
        <f>IFERROR((VLOOKUP(A70,'API - io'!$A:$G,2,0)),"-")</f>
        <v>-</v>
      </c>
      <c r="E70" s="19" t="str">
        <f>IFERROR((VLOOKUP(A70,'API - io'!$A:$G,3,0)),"-")</f>
        <v>-</v>
      </c>
      <c r="F70" s="19" t="str">
        <f>IFERROR((VLOOKUP(A70,'API - io'!$A:$G,4,0)),"-")</f>
        <v>-</v>
      </c>
      <c r="G70" s="19" t="str">
        <f>IFERROR((VLOOKUP(A70,'API - io'!$A:$G,5,0)),"-")</f>
        <v>-</v>
      </c>
      <c r="H70" s="20" t="str">
        <f>IFERROR((VLOOKUP(A70,'API - io'!$A:$G,6,0)),"-")</f>
        <v>-</v>
      </c>
      <c r="I70" s="19" t="str">
        <f>IFERROR((VLOOKUP(A70,'API - io'!$A:$G,7,0)),"-")</f>
        <v>-</v>
      </c>
    </row>
    <row r="71" spans="1:9" x14ac:dyDescent="0.3">
      <c r="A71" s="22"/>
      <c r="B71" s="22"/>
      <c r="C71" s="22"/>
      <c r="D71" s="19" t="str">
        <f>IFERROR((VLOOKUP(A71,'API - io'!$A:$G,2,0)),"-")</f>
        <v>-</v>
      </c>
      <c r="E71" s="19" t="str">
        <f>IFERROR((VLOOKUP(A71,'API - io'!$A:$G,3,0)),"-")</f>
        <v>-</v>
      </c>
      <c r="F71" s="19" t="str">
        <f>IFERROR((VLOOKUP(A71,'API - io'!$A:$G,4,0)),"-")</f>
        <v>-</v>
      </c>
      <c r="G71" s="19" t="str">
        <f>IFERROR((VLOOKUP(A71,'API - io'!$A:$G,5,0)),"-")</f>
        <v>-</v>
      </c>
      <c r="H71" s="20" t="str">
        <f>IFERROR((VLOOKUP(A71,'API - io'!$A:$G,6,0)),"-")</f>
        <v>-</v>
      </c>
      <c r="I71" s="19" t="str">
        <f>IFERROR((VLOOKUP(A71,'API - io'!$A:$G,7,0)),"-")</f>
        <v>-</v>
      </c>
    </row>
    <row r="72" spans="1:9" x14ac:dyDescent="0.3">
      <c r="A72" s="22"/>
      <c r="B72" s="22"/>
      <c r="C72" s="22"/>
      <c r="D72" s="19" t="str">
        <f>IFERROR((VLOOKUP(A72,'API - io'!$A:$G,2,0)),"-")</f>
        <v>-</v>
      </c>
      <c r="E72" s="19" t="str">
        <f>IFERROR((VLOOKUP(A72,'API - io'!$A:$G,3,0)),"-")</f>
        <v>-</v>
      </c>
      <c r="F72" s="19" t="str">
        <f>IFERROR((VLOOKUP(A72,'API - io'!$A:$G,4,0)),"-")</f>
        <v>-</v>
      </c>
      <c r="G72" s="19" t="str">
        <f>IFERROR((VLOOKUP(A72,'API - io'!$A:$G,5,0)),"-")</f>
        <v>-</v>
      </c>
      <c r="H72" s="20" t="str">
        <f>IFERROR((VLOOKUP(A72,'API - io'!$A:$G,6,0)),"-")</f>
        <v>-</v>
      </c>
      <c r="I72" s="19" t="str">
        <f>IFERROR((VLOOKUP(A72,'API - io'!$A:$G,7,0)),"-")</f>
        <v>-</v>
      </c>
    </row>
    <row r="73" spans="1:9" x14ac:dyDescent="0.3">
      <c r="A73" s="22"/>
      <c r="B73" s="22"/>
      <c r="C73" s="22"/>
      <c r="D73" s="19" t="str">
        <f>IFERROR((VLOOKUP(A73,'API - io'!$A:$G,2,0)),"-")</f>
        <v>-</v>
      </c>
      <c r="E73" s="19" t="str">
        <f>IFERROR((VLOOKUP(A73,'API - io'!$A:$G,3,0)),"-")</f>
        <v>-</v>
      </c>
      <c r="F73" s="19" t="str">
        <f>IFERROR((VLOOKUP(A73,'API - io'!$A:$G,4,0)),"-")</f>
        <v>-</v>
      </c>
      <c r="G73" s="19" t="str">
        <f>IFERROR((VLOOKUP(A73,'API - io'!$A:$G,5,0)),"-")</f>
        <v>-</v>
      </c>
      <c r="H73" s="20" t="str">
        <f>IFERROR((VLOOKUP(A73,'API - io'!$A:$G,6,0)),"-")</f>
        <v>-</v>
      </c>
      <c r="I73" s="19" t="str">
        <f>IFERROR((VLOOKUP(A73,'API - io'!$A:$G,7,0)),"-")</f>
        <v>-</v>
      </c>
    </row>
    <row r="74" spans="1:9" x14ac:dyDescent="0.3">
      <c r="A74" s="22"/>
      <c r="B74" s="22"/>
      <c r="C74" s="22"/>
      <c r="D74" s="19" t="str">
        <f>IFERROR((VLOOKUP(A74,'API - io'!$A:$G,2,0)),"-")</f>
        <v>-</v>
      </c>
      <c r="E74" s="19" t="str">
        <f>IFERROR((VLOOKUP(A74,'API - io'!$A:$G,3,0)),"-")</f>
        <v>-</v>
      </c>
      <c r="F74" s="19" t="str">
        <f>IFERROR((VLOOKUP(A74,'API - io'!$A:$G,4,0)),"-")</f>
        <v>-</v>
      </c>
      <c r="G74" s="19" t="str">
        <f>IFERROR((VLOOKUP(A74,'API - io'!$A:$G,5,0)),"-")</f>
        <v>-</v>
      </c>
      <c r="H74" s="20" t="str">
        <f>IFERROR((VLOOKUP(A74,'API - io'!$A:$G,6,0)),"-")</f>
        <v>-</v>
      </c>
      <c r="I74" s="19" t="str">
        <f>IFERROR((VLOOKUP(A74,'API - io'!$A:$G,7,0)),"-")</f>
        <v>-</v>
      </c>
    </row>
    <row r="75" spans="1:9" x14ac:dyDescent="0.3">
      <c r="A75" s="22"/>
      <c r="B75" s="22"/>
      <c r="C75" s="22"/>
      <c r="D75" s="19" t="str">
        <f>IFERROR((VLOOKUP(A75,'API - io'!$A:$G,2,0)),"-")</f>
        <v>-</v>
      </c>
      <c r="E75" s="19" t="str">
        <f>IFERROR((VLOOKUP(A75,'API - io'!$A:$G,3,0)),"-")</f>
        <v>-</v>
      </c>
      <c r="F75" s="19" t="str">
        <f>IFERROR((VLOOKUP(A75,'API - io'!$A:$G,4,0)),"-")</f>
        <v>-</v>
      </c>
      <c r="G75" s="19" t="str">
        <f>IFERROR((VLOOKUP(A75,'API - io'!$A:$G,5,0)),"-")</f>
        <v>-</v>
      </c>
      <c r="H75" s="20" t="str">
        <f>IFERROR((VLOOKUP(A75,'API - io'!$A:$G,6,0)),"-")</f>
        <v>-</v>
      </c>
      <c r="I75" s="19" t="str">
        <f>IFERROR((VLOOKUP(A75,'API - io'!$A:$G,7,0)),"-")</f>
        <v>-</v>
      </c>
    </row>
    <row r="76" spans="1:9" x14ac:dyDescent="0.3">
      <c r="A76" s="22"/>
      <c r="B76" s="22"/>
      <c r="C76" s="22"/>
      <c r="D76" s="19" t="str">
        <f>IFERROR((VLOOKUP(A76,'API - io'!$A:$G,2,0)),"-")</f>
        <v>-</v>
      </c>
      <c r="E76" s="19" t="str">
        <f>IFERROR((VLOOKUP(A76,'API - io'!$A:$G,3,0)),"-")</f>
        <v>-</v>
      </c>
      <c r="F76" s="19" t="str">
        <f>IFERROR((VLOOKUP(A76,'API - io'!$A:$G,4,0)),"-")</f>
        <v>-</v>
      </c>
      <c r="G76" s="19" t="str">
        <f>IFERROR((VLOOKUP(A76,'API - io'!$A:$G,5,0)),"-")</f>
        <v>-</v>
      </c>
      <c r="H76" s="20" t="str">
        <f>IFERROR((VLOOKUP(A76,'API - io'!$A:$G,6,0)),"-")</f>
        <v>-</v>
      </c>
      <c r="I76" s="19" t="str">
        <f>IFERROR((VLOOKUP(A76,'API - io'!$A:$G,7,0)),"-")</f>
        <v>-</v>
      </c>
    </row>
    <row r="77" spans="1:9" x14ac:dyDescent="0.3">
      <c r="A77" s="22"/>
      <c r="B77" s="22"/>
      <c r="C77" s="22"/>
      <c r="D77" s="19" t="str">
        <f>IFERROR((VLOOKUP(A77,'API - io'!$A:$G,2,0)),"-")</f>
        <v>-</v>
      </c>
      <c r="E77" s="19" t="str">
        <f>IFERROR((VLOOKUP(A77,'API - io'!$A:$G,3,0)),"-")</f>
        <v>-</v>
      </c>
      <c r="F77" s="19" t="str">
        <f>IFERROR((VLOOKUP(A77,'API - io'!$A:$G,4,0)),"-")</f>
        <v>-</v>
      </c>
      <c r="G77" s="19" t="str">
        <f>IFERROR((VLOOKUP(A77,'API - io'!$A:$G,5,0)),"-")</f>
        <v>-</v>
      </c>
      <c r="H77" s="20" t="str">
        <f>IFERROR((VLOOKUP(A77,'API - io'!$A:$G,6,0)),"-")</f>
        <v>-</v>
      </c>
      <c r="I77" s="19" t="str">
        <f>IFERROR((VLOOKUP(A77,'API - io'!$A:$G,7,0)),"-")</f>
        <v>-</v>
      </c>
    </row>
    <row r="78" spans="1:9" x14ac:dyDescent="0.3">
      <c r="A78" s="22"/>
      <c r="B78" s="22"/>
      <c r="C78" s="22"/>
      <c r="D78" s="19" t="str">
        <f>IFERROR((VLOOKUP(A78,'API - io'!$A:$G,2,0)),"-")</f>
        <v>-</v>
      </c>
      <c r="E78" s="19" t="str">
        <f>IFERROR((VLOOKUP(A78,'API - io'!$A:$G,3,0)),"-")</f>
        <v>-</v>
      </c>
      <c r="F78" s="19" t="str">
        <f>IFERROR((VLOOKUP(A78,'API - io'!$A:$G,4,0)),"-")</f>
        <v>-</v>
      </c>
      <c r="G78" s="19" t="str">
        <f>IFERROR((VLOOKUP(A78,'API - io'!$A:$G,5,0)),"-")</f>
        <v>-</v>
      </c>
      <c r="H78" s="20" t="str">
        <f>IFERROR((VLOOKUP(A78,'API - io'!$A:$G,6,0)),"-")</f>
        <v>-</v>
      </c>
      <c r="I78" s="19" t="str">
        <f>IFERROR((VLOOKUP(A78,'API - io'!$A:$G,7,0)),"-")</f>
        <v>-</v>
      </c>
    </row>
    <row r="79" spans="1:9" x14ac:dyDescent="0.3">
      <c r="A79" s="22"/>
      <c r="B79" s="22"/>
      <c r="C79" s="22"/>
      <c r="D79" s="19" t="str">
        <f>IFERROR((VLOOKUP(A79,'API - io'!$A:$G,2,0)),"-")</f>
        <v>-</v>
      </c>
      <c r="E79" s="19" t="str">
        <f>IFERROR((VLOOKUP(A79,'API - io'!$A:$G,3,0)),"-")</f>
        <v>-</v>
      </c>
      <c r="F79" s="19" t="str">
        <f>IFERROR((VLOOKUP(A79,'API - io'!$A:$G,4,0)),"-")</f>
        <v>-</v>
      </c>
      <c r="G79" s="19" t="str">
        <f>IFERROR((VLOOKUP(A79,'API - io'!$A:$G,5,0)),"-")</f>
        <v>-</v>
      </c>
      <c r="H79" s="20" t="str">
        <f>IFERROR((VLOOKUP(A79,'API - io'!$A:$G,6,0)),"-")</f>
        <v>-</v>
      </c>
      <c r="I79" s="19" t="str">
        <f>IFERROR((VLOOKUP(A79,'API - io'!$A:$G,7,0)),"-")</f>
        <v>-</v>
      </c>
    </row>
    <row r="80" spans="1:9" x14ac:dyDescent="0.3">
      <c r="A80" s="22"/>
      <c r="B80" s="22"/>
      <c r="C80" s="22"/>
      <c r="D80" s="19" t="str">
        <f>IFERROR((VLOOKUP(A80,'API - io'!$A:$G,2,0)),"-")</f>
        <v>-</v>
      </c>
      <c r="E80" s="19" t="str">
        <f>IFERROR((VLOOKUP(A80,'API - io'!$A:$G,3,0)),"-")</f>
        <v>-</v>
      </c>
      <c r="F80" s="19" t="str">
        <f>IFERROR((VLOOKUP(A80,'API - io'!$A:$G,4,0)),"-")</f>
        <v>-</v>
      </c>
      <c r="G80" s="19" t="str">
        <f>IFERROR((VLOOKUP(A80,'API - io'!$A:$G,5,0)),"-")</f>
        <v>-</v>
      </c>
      <c r="H80" s="20" t="str">
        <f>IFERROR((VLOOKUP(A80,'API - io'!$A:$G,6,0)),"-")</f>
        <v>-</v>
      </c>
      <c r="I80" s="19" t="str">
        <f>IFERROR((VLOOKUP(A80,'API - io'!$A:$G,7,0)),"-")</f>
        <v>-</v>
      </c>
    </row>
    <row r="81" spans="1:9" x14ac:dyDescent="0.3">
      <c r="A81" s="22"/>
      <c r="B81" s="22"/>
      <c r="C81" s="22"/>
      <c r="D81" s="19" t="str">
        <f>IFERROR((VLOOKUP(A81,'API - io'!$A:$G,2,0)),"-")</f>
        <v>-</v>
      </c>
      <c r="E81" s="19" t="str">
        <f>IFERROR((VLOOKUP(A81,'API - io'!$A:$G,3,0)),"-")</f>
        <v>-</v>
      </c>
      <c r="F81" s="19" t="str">
        <f>IFERROR((VLOOKUP(A81,'API - io'!$A:$G,4,0)),"-")</f>
        <v>-</v>
      </c>
      <c r="G81" s="19" t="str">
        <f>IFERROR((VLOOKUP(A81,'API - io'!$A:$G,5,0)),"-")</f>
        <v>-</v>
      </c>
      <c r="H81" s="20" t="str">
        <f>IFERROR((VLOOKUP(A81,'API - io'!$A:$G,6,0)),"-")</f>
        <v>-</v>
      </c>
      <c r="I81" s="19" t="str">
        <f>IFERROR((VLOOKUP(A81,'API - io'!$A:$G,7,0)),"-")</f>
        <v>-</v>
      </c>
    </row>
    <row r="82" spans="1:9" x14ac:dyDescent="0.3">
      <c r="A82" s="22"/>
      <c r="B82" s="22"/>
      <c r="C82" s="22"/>
      <c r="D82" s="19" t="str">
        <f>IFERROR((VLOOKUP(A82,'API - io'!$A:$G,2,0)),"-")</f>
        <v>-</v>
      </c>
      <c r="E82" s="19" t="str">
        <f>IFERROR((VLOOKUP(A82,'API - io'!$A:$G,3,0)),"-")</f>
        <v>-</v>
      </c>
      <c r="F82" s="19" t="str">
        <f>IFERROR((VLOOKUP(A82,'API - io'!$A:$G,4,0)),"-")</f>
        <v>-</v>
      </c>
      <c r="G82" s="19" t="str">
        <f>IFERROR((VLOOKUP(A82,'API - io'!$A:$G,5,0)),"-")</f>
        <v>-</v>
      </c>
      <c r="H82" s="20" t="str">
        <f>IFERROR((VLOOKUP(A82,'API - io'!$A:$G,6,0)),"-")</f>
        <v>-</v>
      </c>
      <c r="I82" s="19" t="str">
        <f>IFERROR((VLOOKUP(A82,'API - io'!$A:$G,7,0)),"-")</f>
        <v>-</v>
      </c>
    </row>
    <row r="83" spans="1:9" x14ac:dyDescent="0.3">
      <c r="A83" s="22"/>
      <c r="B83" s="22"/>
      <c r="C83" s="22"/>
      <c r="D83" s="19" t="str">
        <f>IFERROR((VLOOKUP(A83,'API - io'!$A:$G,2,0)),"-")</f>
        <v>-</v>
      </c>
      <c r="E83" s="19" t="str">
        <f>IFERROR((VLOOKUP(A83,'API - io'!$A:$G,3,0)),"-")</f>
        <v>-</v>
      </c>
      <c r="F83" s="19" t="str">
        <f>IFERROR((VLOOKUP(A83,'API - io'!$A:$G,4,0)),"-")</f>
        <v>-</v>
      </c>
      <c r="G83" s="19" t="str">
        <f>IFERROR((VLOOKUP(A83,'API - io'!$A:$G,5,0)),"-")</f>
        <v>-</v>
      </c>
      <c r="H83" s="20" t="str">
        <f>IFERROR((VLOOKUP(A83,'API - io'!$A:$G,6,0)),"-")</f>
        <v>-</v>
      </c>
      <c r="I83" s="19" t="str">
        <f>IFERROR((VLOOKUP(A83,'API - io'!$A:$G,7,0)),"-")</f>
        <v>-</v>
      </c>
    </row>
    <row r="84" spans="1:9" x14ac:dyDescent="0.3">
      <c r="A84" s="22"/>
      <c r="B84" s="22"/>
      <c r="C84" s="22"/>
      <c r="D84" s="19" t="str">
        <f>IFERROR((VLOOKUP(A84,'API - io'!$A:$G,2,0)),"-")</f>
        <v>-</v>
      </c>
      <c r="E84" s="19" t="str">
        <f>IFERROR((VLOOKUP(A84,'API - io'!$A:$G,3,0)),"-")</f>
        <v>-</v>
      </c>
      <c r="F84" s="19" t="str">
        <f>IFERROR((VLOOKUP(A84,'API - io'!$A:$G,4,0)),"-")</f>
        <v>-</v>
      </c>
      <c r="G84" s="19" t="str">
        <f>IFERROR((VLOOKUP(A84,'API - io'!$A:$G,5,0)),"-")</f>
        <v>-</v>
      </c>
      <c r="H84" s="20" t="str">
        <f>IFERROR((VLOOKUP(A84,'API - io'!$A:$G,6,0)),"-")</f>
        <v>-</v>
      </c>
      <c r="I84" s="19" t="str">
        <f>IFERROR((VLOOKUP(A84,'API - io'!$A:$G,7,0)),"-")</f>
        <v>-</v>
      </c>
    </row>
    <row r="85" spans="1:9" x14ac:dyDescent="0.3">
      <c r="A85" s="22"/>
      <c r="B85" s="22"/>
      <c r="C85" s="22"/>
      <c r="D85" s="19" t="str">
        <f>IFERROR((VLOOKUP(A85,'API - io'!$A:$G,2,0)),"-")</f>
        <v>-</v>
      </c>
      <c r="E85" s="19" t="str">
        <f>IFERROR((VLOOKUP(A85,'API - io'!$A:$G,3,0)),"-")</f>
        <v>-</v>
      </c>
      <c r="F85" s="19" t="str">
        <f>IFERROR((VLOOKUP(A85,'API - io'!$A:$G,4,0)),"-")</f>
        <v>-</v>
      </c>
      <c r="G85" s="19" t="str">
        <f>IFERROR((VLOOKUP(A85,'API - io'!$A:$G,5,0)),"-")</f>
        <v>-</v>
      </c>
      <c r="H85" s="20" t="str">
        <f>IFERROR((VLOOKUP(A85,'API - io'!$A:$G,6,0)),"-")</f>
        <v>-</v>
      </c>
      <c r="I85" s="19" t="str">
        <f>IFERROR((VLOOKUP(A85,'API - io'!$A:$G,7,0)),"-")</f>
        <v>-</v>
      </c>
    </row>
    <row r="86" spans="1:9" x14ac:dyDescent="0.3">
      <c r="A86" s="22"/>
      <c r="B86" s="22"/>
      <c r="C86" s="22"/>
      <c r="D86" s="19" t="str">
        <f>IFERROR((VLOOKUP(A86,'API - io'!$A:$G,2,0)),"-")</f>
        <v>-</v>
      </c>
      <c r="E86" s="19" t="str">
        <f>IFERROR((VLOOKUP(A86,'API - io'!$A:$G,3,0)),"-")</f>
        <v>-</v>
      </c>
      <c r="F86" s="19" t="str">
        <f>IFERROR((VLOOKUP(A86,'API - io'!$A:$G,4,0)),"-")</f>
        <v>-</v>
      </c>
      <c r="G86" s="19" t="str">
        <f>IFERROR((VLOOKUP(A86,'API - io'!$A:$G,5,0)),"-")</f>
        <v>-</v>
      </c>
      <c r="H86" s="20" t="str">
        <f>IFERROR((VLOOKUP(A86,'API - io'!$A:$G,6,0)),"-")</f>
        <v>-</v>
      </c>
      <c r="I86" s="19" t="str">
        <f>IFERROR((VLOOKUP(A86,'API - io'!$A:$G,7,0)),"-")</f>
        <v>-</v>
      </c>
    </row>
    <row r="87" spans="1:9" x14ac:dyDescent="0.3">
      <c r="A87" s="22"/>
      <c r="B87" s="22"/>
      <c r="C87" s="22"/>
      <c r="D87" s="19" t="str">
        <f>IFERROR((VLOOKUP(A87,'API - io'!$A:$G,2,0)),"-")</f>
        <v>-</v>
      </c>
      <c r="E87" s="19" t="str">
        <f>IFERROR((VLOOKUP(A87,'API - io'!$A:$G,3,0)),"-")</f>
        <v>-</v>
      </c>
      <c r="F87" s="19" t="str">
        <f>IFERROR((VLOOKUP(A87,'API - io'!$A:$G,4,0)),"-")</f>
        <v>-</v>
      </c>
      <c r="G87" s="19" t="str">
        <f>IFERROR((VLOOKUP(A87,'API - io'!$A:$G,5,0)),"-")</f>
        <v>-</v>
      </c>
      <c r="H87" s="20" t="str">
        <f>IFERROR((VLOOKUP(A87,'API - io'!$A:$G,6,0)),"-")</f>
        <v>-</v>
      </c>
      <c r="I87" s="19" t="str">
        <f>IFERROR((VLOOKUP(A87,'API - io'!$A:$G,7,0)),"-")</f>
        <v>-</v>
      </c>
    </row>
    <row r="88" spans="1:9" x14ac:dyDescent="0.3">
      <c r="A88" s="22"/>
      <c r="B88" s="22"/>
      <c r="C88" s="22"/>
      <c r="D88" s="19" t="str">
        <f>IFERROR((VLOOKUP(A88,'API - io'!$A:$G,2,0)),"-")</f>
        <v>-</v>
      </c>
      <c r="E88" s="19" t="str">
        <f>IFERROR((VLOOKUP(A88,'API - io'!$A:$G,3,0)),"-")</f>
        <v>-</v>
      </c>
      <c r="F88" s="19" t="str">
        <f>IFERROR((VLOOKUP(A88,'API - io'!$A:$G,4,0)),"-")</f>
        <v>-</v>
      </c>
      <c r="G88" s="19" t="str">
        <f>IFERROR((VLOOKUP(A88,'API - io'!$A:$G,5,0)),"-")</f>
        <v>-</v>
      </c>
      <c r="H88" s="20" t="str">
        <f>IFERROR((VLOOKUP(A88,'API - io'!$A:$G,6,0)),"-")</f>
        <v>-</v>
      </c>
      <c r="I88" s="19" t="str">
        <f>IFERROR((VLOOKUP(A88,'API - io'!$A:$G,7,0)),"-")</f>
        <v>-</v>
      </c>
    </row>
    <row r="89" spans="1:9" x14ac:dyDescent="0.3">
      <c r="A89" s="22"/>
      <c r="B89" s="22"/>
      <c r="C89" s="22"/>
      <c r="D89" s="19" t="str">
        <f>IFERROR((VLOOKUP(A89,'API - io'!$A:$G,2,0)),"-")</f>
        <v>-</v>
      </c>
      <c r="E89" s="19" t="str">
        <f>IFERROR((VLOOKUP(A89,'API - io'!$A:$G,3,0)),"-")</f>
        <v>-</v>
      </c>
      <c r="F89" s="19" t="str">
        <f>IFERROR((VLOOKUP(A89,'API - io'!$A:$G,4,0)),"-")</f>
        <v>-</v>
      </c>
      <c r="G89" s="19" t="str">
        <f>IFERROR((VLOOKUP(A89,'API - io'!$A:$G,5,0)),"-")</f>
        <v>-</v>
      </c>
      <c r="H89" s="20" t="str">
        <f>IFERROR((VLOOKUP(A89,'API - io'!$A:$G,6,0)),"-")</f>
        <v>-</v>
      </c>
      <c r="I89" s="19" t="str">
        <f>IFERROR((VLOOKUP(A89,'API - io'!$A:$G,7,0)),"-")</f>
        <v>-</v>
      </c>
    </row>
    <row r="90" spans="1:9" x14ac:dyDescent="0.3">
      <c r="A90" s="22"/>
      <c r="B90" s="22"/>
      <c r="C90" s="22"/>
      <c r="D90" s="19" t="str">
        <f>IFERROR((VLOOKUP(A90,'API - io'!$A:$G,2,0)),"-")</f>
        <v>-</v>
      </c>
      <c r="E90" s="19" t="str">
        <f>IFERROR((VLOOKUP(A90,'API - io'!$A:$G,3,0)),"-")</f>
        <v>-</v>
      </c>
      <c r="F90" s="19" t="str">
        <f>IFERROR((VLOOKUP(A90,'API - io'!$A:$G,4,0)),"-")</f>
        <v>-</v>
      </c>
      <c r="G90" s="19" t="str">
        <f>IFERROR((VLOOKUP(A90,'API - io'!$A:$G,5,0)),"-")</f>
        <v>-</v>
      </c>
      <c r="H90" s="20" t="str">
        <f>IFERROR((VLOOKUP(A90,'API - io'!$A:$G,6,0)),"-")</f>
        <v>-</v>
      </c>
      <c r="I90" s="19" t="str">
        <f>IFERROR((VLOOKUP(A90,'API - io'!$A:$G,7,0)),"-")</f>
        <v>-</v>
      </c>
    </row>
    <row r="91" spans="1:9" x14ac:dyDescent="0.3">
      <c r="A91" s="22"/>
      <c r="B91" s="22"/>
      <c r="C91" s="22"/>
      <c r="D91" s="19" t="str">
        <f>IFERROR((VLOOKUP(A91,'API - io'!$A:$G,2,0)),"-")</f>
        <v>-</v>
      </c>
      <c r="E91" s="19" t="str">
        <f>IFERROR((VLOOKUP(A91,'API - io'!$A:$G,3,0)),"-")</f>
        <v>-</v>
      </c>
      <c r="F91" s="19" t="str">
        <f>IFERROR((VLOOKUP(A91,'API - io'!$A:$G,4,0)),"-")</f>
        <v>-</v>
      </c>
      <c r="G91" s="19" t="str">
        <f>IFERROR((VLOOKUP(A91,'API - io'!$A:$G,5,0)),"-")</f>
        <v>-</v>
      </c>
      <c r="H91" s="20" t="str">
        <f>IFERROR((VLOOKUP(A91,'API - io'!$A:$G,6,0)),"-")</f>
        <v>-</v>
      </c>
      <c r="I91" s="19" t="str">
        <f>IFERROR((VLOOKUP(A91,'API - io'!$A:$G,7,0)),"-")</f>
        <v>-</v>
      </c>
    </row>
    <row r="92" spans="1:9" x14ac:dyDescent="0.3">
      <c r="A92" s="22"/>
      <c r="B92" s="22"/>
      <c r="C92" s="22"/>
      <c r="D92" s="19" t="str">
        <f>IFERROR((VLOOKUP(A92,'API - io'!$A:$G,2,0)),"-")</f>
        <v>-</v>
      </c>
      <c r="E92" s="19" t="str">
        <f>IFERROR((VLOOKUP(A92,'API - io'!$A:$G,3,0)),"-")</f>
        <v>-</v>
      </c>
      <c r="F92" s="19" t="str">
        <f>IFERROR((VLOOKUP(A92,'API - io'!$A:$G,4,0)),"-")</f>
        <v>-</v>
      </c>
      <c r="G92" s="19" t="str">
        <f>IFERROR((VLOOKUP(A92,'API - io'!$A:$G,5,0)),"-")</f>
        <v>-</v>
      </c>
      <c r="H92" s="20" t="str">
        <f>IFERROR((VLOOKUP(A92,'API - io'!$A:$G,6,0)),"-")</f>
        <v>-</v>
      </c>
      <c r="I92" s="19" t="str">
        <f>IFERROR((VLOOKUP(A92,'API - io'!$A:$G,7,0)),"-")</f>
        <v>-</v>
      </c>
    </row>
    <row r="93" spans="1:9" x14ac:dyDescent="0.3">
      <c r="A93" s="22"/>
      <c r="B93" s="22"/>
      <c r="C93" s="22"/>
      <c r="D93" s="19" t="str">
        <f>IFERROR((VLOOKUP(A93,'API - io'!$A:$G,2,0)),"-")</f>
        <v>-</v>
      </c>
      <c r="E93" s="19" t="str">
        <f>IFERROR((VLOOKUP(A93,'API - io'!$A:$G,3,0)),"-")</f>
        <v>-</v>
      </c>
      <c r="F93" s="19" t="str">
        <f>IFERROR((VLOOKUP(A93,'API - io'!$A:$G,4,0)),"-")</f>
        <v>-</v>
      </c>
      <c r="G93" s="19" t="str">
        <f>IFERROR((VLOOKUP(A93,'API - io'!$A:$G,5,0)),"-")</f>
        <v>-</v>
      </c>
      <c r="H93" s="20" t="str">
        <f>IFERROR((VLOOKUP(A93,'API - io'!$A:$G,6,0)),"-")</f>
        <v>-</v>
      </c>
      <c r="I93" s="19" t="str">
        <f>IFERROR((VLOOKUP(A93,'API - io'!$A:$G,7,0)),"-")</f>
        <v>-</v>
      </c>
    </row>
    <row r="94" spans="1:9" x14ac:dyDescent="0.3">
      <c r="A94" s="22"/>
      <c r="B94" s="22"/>
      <c r="C94" s="22"/>
      <c r="D94" s="19" t="str">
        <f>IFERROR((VLOOKUP(A94,'API - io'!$A:$G,2,0)),"-")</f>
        <v>-</v>
      </c>
      <c r="E94" s="19" t="str">
        <f>IFERROR((VLOOKUP(A94,'API - io'!$A:$G,3,0)),"-")</f>
        <v>-</v>
      </c>
      <c r="F94" s="19" t="str">
        <f>IFERROR((VLOOKUP(A94,'API - io'!$A:$G,4,0)),"-")</f>
        <v>-</v>
      </c>
      <c r="G94" s="19" t="str">
        <f>IFERROR((VLOOKUP(A94,'API - io'!$A:$G,5,0)),"-")</f>
        <v>-</v>
      </c>
      <c r="H94" s="20" t="str">
        <f>IFERROR((VLOOKUP(A94,'API - io'!$A:$G,6,0)),"-")</f>
        <v>-</v>
      </c>
      <c r="I94" s="19" t="str">
        <f>IFERROR((VLOOKUP(A94,'API - io'!$A:$G,7,0)),"-")</f>
        <v>-</v>
      </c>
    </row>
    <row r="95" spans="1:9" x14ac:dyDescent="0.3">
      <c r="A95" s="22"/>
      <c r="B95" s="22"/>
      <c r="C95" s="22"/>
      <c r="D95" s="19" t="str">
        <f>IFERROR((VLOOKUP(A95,'API - io'!$A:$G,2,0)),"-")</f>
        <v>-</v>
      </c>
      <c r="E95" s="19" t="str">
        <f>IFERROR((VLOOKUP(A95,'API - io'!$A:$G,3,0)),"-")</f>
        <v>-</v>
      </c>
      <c r="F95" s="19" t="str">
        <f>IFERROR((VLOOKUP(A95,'API - io'!$A:$G,4,0)),"-")</f>
        <v>-</v>
      </c>
      <c r="G95" s="19" t="str">
        <f>IFERROR((VLOOKUP(A95,'API - io'!$A:$G,5,0)),"-")</f>
        <v>-</v>
      </c>
      <c r="H95" s="20" t="str">
        <f>IFERROR((VLOOKUP(A95,'API - io'!$A:$G,6,0)),"-")</f>
        <v>-</v>
      </c>
      <c r="I95" s="19" t="str">
        <f>IFERROR((VLOOKUP(A95,'API - io'!$A:$G,7,0)),"-")</f>
        <v>-</v>
      </c>
    </row>
    <row r="96" spans="1:9" x14ac:dyDescent="0.3">
      <c r="A96" s="22"/>
      <c r="B96" s="22"/>
      <c r="C96" s="22"/>
      <c r="D96" s="19" t="str">
        <f>IFERROR((VLOOKUP(A96,'API - io'!$A:$G,2,0)),"-")</f>
        <v>-</v>
      </c>
      <c r="E96" s="19" t="str">
        <f>IFERROR((VLOOKUP(A96,'API - io'!$A:$G,3,0)),"-")</f>
        <v>-</v>
      </c>
      <c r="F96" s="19" t="str">
        <f>IFERROR((VLOOKUP(A96,'API - io'!$A:$G,4,0)),"-")</f>
        <v>-</v>
      </c>
      <c r="G96" s="19" t="str">
        <f>IFERROR((VLOOKUP(A96,'API - io'!$A:$G,5,0)),"-")</f>
        <v>-</v>
      </c>
      <c r="H96" s="20" t="str">
        <f>IFERROR((VLOOKUP(A96,'API - io'!$A:$G,6,0)),"-")</f>
        <v>-</v>
      </c>
      <c r="I96" s="19" t="str">
        <f>IFERROR((VLOOKUP(A96,'API - io'!$A:$G,7,0)),"-")</f>
        <v>-</v>
      </c>
    </row>
    <row r="97" spans="1:9" x14ac:dyDescent="0.3">
      <c r="A97" s="22"/>
      <c r="B97" s="22"/>
      <c r="C97" s="22"/>
      <c r="D97" s="19" t="str">
        <f>IFERROR((VLOOKUP(A97,'API - io'!$A:$G,2,0)),"-")</f>
        <v>-</v>
      </c>
      <c r="E97" s="19" t="str">
        <f>IFERROR((VLOOKUP(A97,'API - io'!$A:$G,3,0)),"-")</f>
        <v>-</v>
      </c>
      <c r="F97" s="19" t="str">
        <f>IFERROR((VLOOKUP(A97,'API - io'!$A:$G,4,0)),"-")</f>
        <v>-</v>
      </c>
      <c r="G97" s="19" t="str">
        <f>IFERROR((VLOOKUP(A97,'API - io'!$A:$G,5,0)),"-")</f>
        <v>-</v>
      </c>
      <c r="H97" s="20" t="str">
        <f>IFERROR((VLOOKUP(A97,'API - io'!$A:$G,6,0)),"-")</f>
        <v>-</v>
      </c>
      <c r="I97" s="19" t="str">
        <f>IFERROR((VLOOKUP(A97,'API - io'!$A:$G,7,0)),"-")</f>
        <v>-</v>
      </c>
    </row>
    <row r="98" spans="1:9" x14ac:dyDescent="0.3">
      <c r="A98" s="22"/>
      <c r="B98" s="22"/>
      <c r="C98" s="22"/>
      <c r="D98" s="19" t="str">
        <f>IFERROR((VLOOKUP(A98,'API - io'!$A:$G,2,0)),"-")</f>
        <v>-</v>
      </c>
      <c r="E98" s="19" t="str">
        <f>IFERROR((VLOOKUP(A98,'API - io'!$A:$G,3,0)),"-")</f>
        <v>-</v>
      </c>
      <c r="F98" s="19" t="str">
        <f>IFERROR((VLOOKUP(A98,'API - io'!$A:$G,4,0)),"-")</f>
        <v>-</v>
      </c>
      <c r="G98" s="19" t="str">
        <f>IFERROR((VLOOKUP(A98,'API - io'!$A:$G,5,0)),"-")</f>
        <v>-</v>
      </c>
      <c r="H98" s="20" t="str">
        <f>IFERROR((VLOOKUP(A98,'API - io'!$A:$G,6,0)),"-")</f>
        <v>-</v>
      </c>
      <c r="I98" s="19" t="str">
        <f>IFERROR((VLOOKUP(A98,'API - io'!$A:$G,7,0)),"-")</f>
        <v>-</v>
      </c>
    </row>
    <row r="99" spans="1:9" x14ac:dyDescent="0.3">
      <c r="A99" s="22"/>
      <c r="B99" s="22"/>
      <c r="C99" s="22"/>
      <c r="D99" s="19" t="str">
        <f>IFERROR((VLOOKUP(A99,'API - io'!$A:$G,2,0)),"-")</f>
        <v>-</v>
      </c>
      <c r="E99" s="19" t="str">
        <f>IFERROR((VLOOKUP(A99,'API - io'!$A:$G,3,0)),"-")</f>
        <v>-</v>
      </c>
      <c r="F99" s="19" t="str">
        <f>IFERROR((VLOOKUP(A99,'API - io'!$A:$G,4,0)),"-")</f>
        <v>-</v>
      </c>
      <c r="G99" s="19" t="str">
        <f>IFERROR((VLOOKUP(A99,'API - io'!$A:$G,5,0)),"-")</f>
        <v>-</v>
      </c>
      <c r="H99" s="20" t="str">
        <f>IFERROR((VLOOKUP(A99,'API - io'!$A:$G,6,0)),"-")</f>
        <v>-</v>
      </c>
      <c r="I99" s="19" t="str">
        <f>IFERROR((VLOOKUP(A99,'API - io'!$A:$G,7,0)),"-")</f>
        <v>-</v>
      </c>
    </row>
    <row r="100" spans="1:9" x14ac:dyDescent="0.3">
      <c r="A100" s="22"/>
      <c r="B100" s="22"/>
      <c r="C100" s="22"/>
      <c r="D100" s="19" t="str">
        <f>IFERROR((VLOOKUP(A100,'API - io'!$A:$G,2,0)),"-")</f>
        <v>-</v>
      </c>
      <c r="E100" s="19" t="str">
        <f>IFERROR((VLOOKUP(A100,'API - io'!$A:$G,3,0)),"-")</f>
        <v>-</v>
      </c>
      <c r="F100" s="19" t="str">
        <f>IFERROR((VLOOKUP(A100,'API - io'!$A:$G,4,0)),"-")</f>
        <v>-</v>
      </c>
      <c r="G100" s="19" t="str">
        <f>IFERROR((VLOOKUP(A100,'API - io'!$A:$G,5,0)),"-")</f>
        <v>-</v>
      </c>
      <c r="H100" s="20" t="str">
        <f>IFERROR((VLOOKUP(A100,'API - io'!$A:$G,6,0)),"-")</f>
        <v>-</v>
      </c>
      <c r="I100" s="19" t="str">
        <f>IFERROR((VLOOKUP(A100,'API - io'!$A:$G,7,0)),"-")</f>
        <v>-</v>
      </c>
    </row>
    <row r="101" spans="1:9" x14ac:dyDescent="0.3">
      <c r="A101" s="22"/>
      <c r="B101" s="22"/>
      <c r="C101" s="22"/>
      <c r="D101" s="19" t="str">
        <f>IFERROR((VLOOKUP(A101,'API - io'!$A:$G,2,0)),"-")</f>
        <v>-</v>
      </c>
      <c r="E101" s="19" t="str">
        <f>IFERROR((VLOOKUP(A101,'API - io'!$A:$G,3,0)),"-")</f>
        <v>-</v>
      </c>
      <c r="F101" s="19" t="str">
        <f>IFERROR((VLOOKUP(A101,'API - io'!$A:$G,4,0)),"-")</f>
        <v>-</v>
      </c>
      <c r="G101" s="19" t="str">
        <f>IFERROR((VLOOKUP(A101,'API - io'!$A:$G,5,0)),"-")</f>
        <v>-</v>
      </c>
      <c r="H101" s="20" t="str">
        <f>IFERROR((VLOOKUP(A101,'API - io'!$A:$G,6,0)),"-")</f>
        <v>-</v>
      </c>
      <c r="I101" s="19" t="str">
        <f>IFERROR((VLOOKUP(A101,'API - io'!$A:$G,7,0)),"-")</f>
        <v>-</v>
      </c>
    </row>
  </sheetData>
  <dataValidations count="1">
    <dataValidation type="custom" allowBlank="1" showDropDown="1" sqref="F2:F101 A4 A2:C3 A5:C15" xr:uid="{A89C4704-896A-47DC-A7B5-29F469ADEA0A}">
      <formula1>AND(ISNUMBER(A2),(NOT(OR(NOT(ISERROR(DATEVALUE(A2))), AND(ISNUMBER(A2), LEFT(CELL("format", A2))="D")))))</formula1>
    </dataValidation>
  </dataValidations>
  <hyperlinks>
    <hyperlink ref="H2" r:id="rId1" display="https://cdn.vietqr.io/img/ABB.png" xr:uid="{0FCBDF7F-DBCD-449D-AA2E-06185888F985}"/>
    <hyperlink ref="H3" r:id="rId2" display="https://cdn.vietqr.io/img/ABB.png" xr:uid="{FF73F192-9590-488D-A75A-2E0B31E9222F}"/>
    <hyperlink ref="H4" r:id="rId3" display="https://cdn.vietqr.io/img/ABB.png" xr:uid="{2DB990CC-FAC5-45FF-945E-3759CDA1E0A2}"/>
    <hyperlink ref="H5" r:id="rId4" display="https://cdn.vietqr.io/img/ABB.png" xr:uid="{25973EA4-5900-4AC9-8D4F-CA1C33271EB7}"/>
    <hyperlink ref="H6" r:id="rId5" display="https://cdn.vietqr.io/img/ABB.png" xr:uid="{AF1DEE4C-DA5A-4C09-B41B-009247983E60}"/>
    <hyperlink ref="H7" r:id="rId6" display="https://cdn.vietqr.io/img/ABB.png" xr:uid="{5F752DEE-B49F-4390-ABF1-6BB2F79E5304}"/>
    <hyperlink ref="H8" r:id="rId7" display="https://cdn.vietqr.io/img/ABB.png" xr:uid="{5469E140-AFE5-46EC-9612-45B45C6161A9}"/>
    <hyperlink ref="H9" r:id="rId8" display="https://cdn.vietqr.io/img/ABB.png" xr:uid="{DE74E478-E6A1-4292-9E54-DAF048A34D02}"/>
    <hyperlink ref="H10" r:id="rId9" display="https://cdn.vietqr.io/img/ABB.png" xr:uid="{4487A71F-4709-4920-ACB1-91E07B9D18B8}"/>
    <hyperlink ref="H11" r:id="rId10" display="https://cdn.vietqr.io/img/ABB.png" xr:uid="{FFFA4705-F484-4B3E-93A1-A9E47BB54CB9}"/>
    <hyperlink ref="H12" r:id="rId11" display="https://cdn.vietqr.io/img/ABB.png" xr:uid="{88612F3B-E50E-4D82-B45F-A793DDF84A37}"/>
    <hyperlink ref="H13" r:id="rId12" display="https://cdn.vietqr.io/img/ABB.png" xr:uid="{CAE279EC-B962-42D3-9529-7851F75A61F8}"/>
    <hyperlink ref="H14" r:id="rId13" display="https://cdn.vietqr.io/img/ABB.png" xr:uid="{ADF08FAB-2C1D-440D-BBBD-83F01ADFD5AA}"/>
    <hyperlink ref="H15" r:id="rId14" display="https://cdn.vietqr.io/img/ABB.png" xr:uid="{DBF2AF88-58FD-4DBE-B8E9-75831EE171CD}"/>
    <hyperlink ref="H16" r:id="rId15" display="https://cdn.vietqr.io/img/ABB.png" xr:uid="{0C6E3BF0-AC54-4B80-90F8-33D9B305172B}"/>
    <hyperlink ref="H17" r:id="rId16" display="https://cdn.vietqr.io/img/ABB.png" xr:uid="{8F0CB904-1B5D-437D-BF55-F9F69DD30167}"/>
    <hyperlink ref="H18" r:id="rId17" display="https://cdn.vietqr.io/img/ABB.png" xr:uid="{C238411D-AA75-4757-8DB0-7FFF69DDFB8A}"/>
    <hyperlink ref="H19" r:id="rId18" display="https://cdn.vietqr.io/img/ABB.png" xr:uid="{2CF67AD9-AC37-4A2C-9F0C-B88919CE0F0B}"/>
    <hyperlink ref="H20" r:id="rId19" display="https://cdn.vietqr.io/img/ABB.png" xr:uid="{2365DA53-A1B6-4663-84F1-81578502F133}"/>
    <hyperlink ref="H21" r:id="rId20" display="https://cdn.vietqr.io/img/ABB.png" xr:uid="{27C7D044-2183-4716-89B4-C8035A5BDACD}"/>
    <hyperlink ref="H22" r:id="rId21" display="https://cdn.vietqr.io/img/ABB.png" xr:uid="{9E80976F-467A-4B3F-BCF7-5FEF9BF0C8AE}"/>
    <hyperlink ref="H23" r:id="rId22" display="https://cdn.vietqr.io/img/ABB.png" xr:uid="{AF8104DA-29E5-48F8-AFED-A25C0810F9F1}"/>
    <hyperlink ref="H24" r:id="rId23" display="https://cdn.vietqr.io/img/ABB.png" xr:uid="{B3E70961-470C-4C29-85A5-D74EDE38D151}"/>
    <hyperlink ref="H25" r:id="rId24" display="https://cdn.vietqr.io/img/ABB.png" xr:uid="{38E86826-A211-494A-B6B9-1B69DDA2EFF7}"/>
    <hyperlink ref="H26" r:id="rId25" display="https://cdn.vietqr.io/img/ABB.png" xr:uid="{1F20F8DA-CB16-474B-A4B9-E1DE8EF7B09B}"/>
    <hyperlink ref="H27" r:id="rId26" display="https://cdn.vietqr.io/img/ABB.png" xr:uid="{2FD70308-BDB7-4249-A039-5D067660BFD6}"/>
    <hyperlink ref="H28" r:id="rId27" display="https://cdn.vietqr.io/img/ABB.png" xr:uid="{EA7880BB-4407-4622-9350-159221423B3B}"/>
    <hyperlink ref="H29" r:id="rId28" display="https://cdn.vietqr.io/img/ABB.png" xr:uid="{DB53A627-9823-4A01-A33A-A9D5FE8B2AAC}"/>
    <hyperlink ref="H30" r:id="rId29" display="https://cdn.vietqr.io/img/ABB.png" xr:uid="{F0F55E47-3169-4DEA-8A5D-DAE098E7AA0E}"/>
    <hyperlink ref="H31" r:id="rId30" display="https://cdn.vietqr.io/img/ABB.png" xr:uid="{73A5B96C-ED9A-4AD1-9E59-E94722FC6C4A}"/>
    <hyperlink ref="H32" r:id="rId31" display="https://cdn.vietqr.io/img/ABB.png" xr:uid="{69FD3ECA-E6CA-451D-B9DC-3E388750B256}"/>
    <hyperlink ref="H33" r:id="rId32" display="https://cdn.vietqr.io/img/ABB.png" xr:uid="{334F12FE-5699-40ED-A7EF-B9FDF8878812}"/>
    <hyperlink ref="H34" r:id="rId33" display="https://cdn.vietqr.io/img/ABB.png" xr:uid="{696173DE-241C-4BEF-8A3A-85997AEEDB99}"/>
    <hyperlink ref="H35" r:id="rId34" display="https://cdn.vietqr.io/img/ABB.png" xr:uid="{55928F6D-FAA5-45BC-B738-422AD9F475DF}"/>
    <hyperlink ref="H36" r:id="rId35" display="https://cdn.vietqr.io/img/ABB.png" xr:uid="{A1DF03D6-97B6-4086-B93A-954D2A825E10}"/>
    <hyperlink ref="H37" r:id="rId36" display="https://cdn.vietqr.io/img/ABB.png" xr:uid="{4D5F3AF4-2725-43BD-AA9B-9523987533AC}"/>
    <hyperlink ref="H38" r:id="rId37" display="https://cdn.vietqr.io/img/ABB.png" xr:uid="{8A208B5A-1C1B-43DD-B2B2-FE5CBAD35495}"/>
    <hyperlink ref="H39" r:id="rId38" display="https://cdn.vietqr.io/img/ABB.png" xr:uid="{C529394C-3620-4427-A2BF-4292E38557FC}"/>
    <hyperlink ref="H40" r:id="rId39" display="https://cdn.vietqr.io/img/ABB.png" xr:uid="{BDDECC2B-E9AE-47C6-A23C-2DA7B59E7077}"/>
    <hyperlink ref="H41" r:id="rId40" display="https://cdn.vietqr.io/img/ABB.png" xr:uid="{FD5C0161-5CEB-4F94-82B3-E067DE66ED04}"/>
    <hyperlink ref="H42" r:id="rId41" display="https://cdn.vietqr.io/img/ABB.png" xr:uid="{143ECA98-C8BA-4897-B755-588898AC192E}"/>
    <hyperlink ref="H43" r:id="rId42" display="https://cdn.vietqr.io/img/ABB.png" xr:uid="{C8F88F95-8B05-4AB3-9866-9C70E9B2A4E4}"/>
    <hyperlink ref="H44" r:id="rId43" display="https://cdn.vietqr.io/img/ABB.png" xr:uid="{F124A78A-547A-48A0-B7F2-BCD018B97195}"/>
    <hyperlink ref="H45" r:id="rId44" display="https://cdn.vietqr.io/img/ABB.png" xr:uid="{62A5BAA4-50D8-4BF4-AE64-6D2CC7E9DE07}"/>
    <hyperlink ref="H46" r:id="rId45" display="https://cdn.vietqr.io/img/ABB.png" xr:uid="{84982593-6A7A-48C4-929C-73648C3B107A}"/>
    <hyperlink ref="H47" r:id="rId46" display="https://cdn.vietqr.io/img/ABB.png" xr:uid="{E607F40D-AB62-490A-9B14-A32A120E28A5}"/>
    <hyperlink ref="H48" r:id="rId47" display="https://cdn.vietqr.io/img/ABB.png" xr:uid="{71AFF0FF-4AFD-4274-9B0C-B518AE9D4FBB}"/>
    <hyperlink ref="H49" r:id="rId48" display="https://cdn.vietqr.io/img/ABB.png" xr:uid="{22943615-22F6-43D7-8D6B-D83D57A9668E}"/>
    <hyperlink ref="H50" r:id="rId49" display="https://cdn.vietqr.io/img/ABB.png" xr:uid="{513EACCF-D581-414C-9FE6-7D531B61A162}"/>
    <hyperlink ref="H51" r:id="rId50" display="https://cdn.vietqr.io/img/ABB.png" xr:uid="{4C6ECBB6-FF10-4B7E-9D81-A42EF84AA8E1}"/>
    <hyperlink ref="H52" r:id="rId51" display="https://cdn.vietqr.io/img/ABB.png" xr:uid="{A44F4C23-317F-411D-97DE-90D8A4FB33E9}"/>
    <hyperlink ref="H53" r:id="rId52" display="https://cdn.vietqr.io/img/ABB.png" xr:uid="{F680E46D-8C1F-4821-8B8A-DDB1C60E2649}"/>
    <hyperlink ref="H54" r:id="rId53" display="https://cdn.vietqr.io/img/ABB.png" xr:uid="{B47BF1C6-4B29-4841-BC81-7A9F9167CEA0}"/>
    <hyperlink ref="H55" r:id="rId54" display="https://cdn.vietqr.io/img/ABB.png" xr:uid="{F15A7166-2A15-4E22-976C-5C9DEEE00387}"/>
    <hyperlink ref="H56" r:id="rId55" display="https://cdn.vietqr.io/img/ABB.png" xr:uid="{03311C28-542E-4A06-8A69-E0753F94342C}"/>
    <hyperlink ref="H57" r:id="rId56" display="https://cdn.vietqr.io/img/ABB.png" xr:uid="{B89816E6-2DB1-4559-8390-72D5BB3EC59F}"/>
    <hyperlink ref="H58" r:id="rId57" display="https://cdn.vietqr.io/img/ABB.png" xr:uid="{5EF32F46-F67E-42FC-8F23-64E2DFC818BE}"/>
    <hyperlink ref="H59" r:id="rId58" display="https://cdn.vietqr.io/img/ABB.png" xr:uid="{47BD76DB-B7EE-4AA8-AE0A-70B28E660954}"/>
    <hyperlink ref="H60" r:id="rId59" display="https://cdn.vietqr.io/img/ABB.png" xr:uid="{CDC78262-2229-4847-B303-813B574F8EE5}"/>
    <hyperlink ref="H61" r:id="rId60" display="https://cdn.vietqr.io/img/ABB.png" xr:uid="{B5B97DFF-6CC1-4A69-A9FE-DD1C99DACF50}"/>
    <hyperlink ref="H62" r:id="rId61" display="https://cdn.vietqr.io/img/ABB.png" xr:uid="{B5E77F0A-3557-40D8-B8A3-577FACDE056B}"/>
    <hyperlink ref="H63" r:id="rId62" display="https://cdn.vietqr.io/img/ABB.png" xr:uid="{70FBCE56-656D-477A-83F4-0AFA04A808FC}"/>
    <hyperlink ref="H64" r:id="rId63" display="https://cdn.vietqr.io/img/ABB.png" xr:uid="{93731BA7-B2A0-4776-965E-17A7B1BAB201}"/>
    <hyperlink ref="H65" r:id="rId64" display="https://cdn.vietqr.io/img/ABB.png" xr:uid="{C410A9FA-539C-4E83-B463-FA90104A0A39}"/>
    <hyperlink ref="H66" r:id="rId65" display="https://cdn.vietqr.io/img/ABB.png" xr:uid="{610F377F-834E-4CF4-8B3C-F0A4DC0498C2}"/>
    <hyperlink ref="H67" r:id="rId66" display="https://cdn.vietqr.io/img/ABB.png" xr:uid="{C14AED96-01F8-47A5-B7FE-D6B1A3B3EC3B}"/>
    <hyperlink ref="H68" r:id="rId67" display="https://cdn.vietqr.io/img/ABB.png" xr:uid="{8FABA8B0-3CD1-4546-95C2-BAF0FADE3597}"/>
    <hyperlink ref="H69" r:id="rId68" display="https://cdn.vietqr.io/img/ABB.png" xr:uid="{A74CDF5A-0BDB-43A0-976C-6361A1904602}"/>
    <hyperlink ref="H70" r:id="rId69" display="https://cdn.vietqr.io/img/ABB.png" xr:uid="{B1D3426F-0142-45CE-939B-8C055B9F229C}"/>
    <hyperlink ref="H71" r:id="rId70" display="https://cdn.vietqr.io/img/ABB.png" xr:uid="{E411C4D5-8F83-437F-8C4D-B86654CB559D}"/>
    <hyperlink ref="H72" r:id="rId71" display="https://cdn.vietqr.io/img/ABB.png" xr:uid="{0F119914-F3E1-4824-9792-A0A357F0C69B}"/>
    <hyperlink ref="H73" r:id="rId72" display="https://cdn.vietqr.io/img/ABB.png" xr:uid="{D32D0D21-2612-4845-8CAC-6D25352EF5D3}"/>
    <hyperlink ref="H74" r:id="rId73" display="https://cdn.vietqr.io/img/ABB.png" xr:uid="{CA051FA0-0A47-4B67-81A9-16F2D79D0081}"/>
    <hyperlink ref="H75" r:id="rId74" display="https://cdn.vietqr.io/img/ABB.png" xr:uid="{B7F56C90-456C-440F-BDFA-45F01F1AF565}"/>
    <hyperlink ref="H76" r:id="rId75" display="https://cdn.vietqr.io/img/ABB.png" xr:uid="{93C00ACA-C3D2-460C-B9DA-117BDA833187}"/>
    <hyperlink ref="H77" r:id="rId76" display="https://cdn.vietqr.io/img/ABB.png" xr:uid="{C8F3479D-3681-4B1E-BCE5-4E0133B2E36D}"/>
    <hyperlink ref="H78" r:id="rId77" display="https://cdn.vietqr.io/img/ABB.png" xr:uid="{DFEB60E2-96C4-4BA7-AF58-EF7581E3E37A}"/>
    <hyperlink ref="H79" r:id="rId78" display="https://cdn.vietqr.io/img/ABB.png" xr:uid="{5CF0FB32-CDC9-4C8D-89C7-A6FF4095C4F9}"/>
    <hyperlink ref="H80" r:id="rId79" display="https://cdn.vietqr.io/img/ABB.png" xr:uid="{3A85C454-9ABF-4536-A3BD-675C7034DE1C}"/>
    <hyperlink ref="H81" r:id="rId80" display="https://cdn.vietqr.io/img/ABB.png" xr:uid="{91B4B64E-1B8A-4483-A731-0EE302C8EEC7}"/>
    <hyperlink ref="H82" r:id="rId81" display="https://cdn.vietqr.io/img/ABB.png" xr:uid="{5B6B187F-6E1C-4D7D-A171-76E12F010408}"/>
    <hyperlink ref="H83" r:id="rId82" display="https://cdn.vietqr.io/img/ABB.png" xr:uid="{FAA64865-36F1-41F1-BB4D-5F9E691EF208}"/>
    <hyperlink ref="H84" r:id="rId83" display="https://cdn.vietqr.io/img/ABB.png" xr:uid="{C544D59B-4E38-447B-88DE-6C9AE6A8284F}"/>
    <hyperlink ref="H85" r:id="rId84" display="https://cdn.vietqr.io/img/ABB.png" xr:uid="{DC777E21-D4B6-4035-8E42-23DA33C9C087}"/>
    <hyperlink ref="H86" r:id="rId85" display="https://cdn.vietqr.io/img/ABB.png" xr:uid="{2A2E1A6D-86FE-4987-9AB4-54B7C971DFAA}"/>
    <hyperlink ref="H87" r:id="rId86" display="https://cdn.vietqr.io/img/ABB.png" xr:uid="{B827DB21-242B-410B-9591-CBE07C83FDFD}"/>
    <hyperlink ref="H88" r:id="rId87" display="https://cdn.vietqr.io/img/ABB.png" xr:uid="{F57C9182-5D3B-4E46-BC40-46A3D8E627D3}"/>
    <hyperlink ref="H89" r:id="rId88" display="https://cdn.vietqr.io/img/ABB.png" xr:uid="{2554A8C1-62DA-44DF-BC74-A27CE8F7BFBC}"/>
    <hyperlink ref="H90" r:id="rId89" display="https://cdn.vietqr.io/img/ABB.png" xr:uid="{D640E482-9F19-4D2A-B812-FBB54A9504A1}"/>
    <hyperlink ref="H91" r:id="rId90" display="https://cdn.vietqr.io/img/ABB.png" xr:uid="{C457E0D7-1278-44E9-932C-B24EF3343FC3}"/>
    <hyperlink ref="H92" r:id="rId91" display="https://cdn.vietqr.io/img/ABB.png" xr:uid="{696D2CB9-2D96-486D-9F75-7376DE1F0AEB}"/>
    <hyperlink ref="H93" r:id="rId92" display="https://cdn.vietqr.io/img/ABB.png" xr:uid="{383E64D0-D9EC-437F-A3B7-DA69FBA1E00E}"/>
    <hyperlink ref="H94" r:id="rId93" display="https://cdn.vietqr.io/img/ABB.png" xr:uid="{615FC7F9-F46E-45A6-BBA2-B72742CA4B41}"/>
    <hyperlink ref="H95" r:id="rId94" display="https://cdn.vietqr.io/img/ABB.png" xr:uid="{9838F64C-F593-4678-9DEC-7CCAF67151FA}"/>
    <hyperlink ref="H96" r:id="rId95" display="https://cdn.vietqr.io/img/ABB.png" xr:uid="{A596E95E-9814-454A-B1E7-DEF21E58E6CF}"/>
    <hyperlink ref="H97" r:id="rId96" display="https://cdn.vietqr.io/img/ABB.png" xr:uid="{A193D687-4899-45DD-88BB-7DBAA2A9C895}"/>
    <hyperlink ref="H98" r:id="rId97" display="https://cdn.vietqr.io/img/ABB.png" xr:uid="{C585F8E2-8893-49F5-BEC8-9ABD3B0B5208}"/>
    <hyperlink ref="H99" r:id="rId98" display="https://cdn.vietqr.io/img/ABB.png" xr:uid="{CD864CC2-420B-4384-B326-3C50D3018E3E}"/>
    <hyperlink ref="H100" r:id="rId99" display="https://cdn.vietqr.io/img/ABB.png" xr:uid="{C523094A-D799-4C05-BCB7-37B0F52ACFEB}"/>
    <hyperlink ref="H101" r:id="rId100" display="https://cdn.vietqr.io/img/ABB.png" xr:uid="{9B2544B7-2F90-4077-8BE4-351C81B91E6D}"/>
  </hyperlinks>
  <pageMargins left="0.7" right="0.7" top="0.75" bottom="0.75" header="0.3" footer="0.3"/>
  <tableParts count="1">
    <tablePart r:id="rId10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H66"/>
  <sheetViews>
    <sheetView tabSelected="1" zoomScale="85" zoomScaleNormal="85" workbookViewId="0">
      <pane ySplit="1" topLeftCell="A2" activePane="bottomLeft" state="frozen"/>
      <selection pane="bottomLeft" activeCell="H7" sqref="H7"/>
    </sheetView>
  </sheetViews>
  <sheetFormatPr defaultColWidth="14.44140625" defaultRowHeight="15" customHeight="1" x14ac:dyDescent="0.3"/>
  <cols>
    <col min="1" max="1" width="17.44140625" customWidth="1"/>
    <col min="2" max="2" width="72" bestFit="1" customWidth="1"/>
    <col min="3" max="3" width="16.33203125" customWidth="1"/>
    <col min="4" max="4" width="18.5546875" customWidth="1"/>
    <col min="5" max="5" width="21.6640625" customWidth="1"/>
    <col min="6" max="6" width="34.33203125" customWidth="1"/>
    <col min="7" max="7" width="22.44140625" customWidth="1"/>
  </cols>
  <sheetData>
    <row r="1" spans="1:8" ht="22.5" customHeight="1" x14ac:dyDescent="0.3">
      <c r="A1" s="13" t="s">
        <v>3</v>
      </c>
      <c r="B1" s="13" t="s">
        <v>4</v>
      </c>
      <c r="C1" s="13" t="s">
        <v>158</v>
      </c>
      <c r="D1" s="13" t="s">
        <v>6</v>
      </c>
      <c r="E1" s="13" t="s">
        <v>5</v>
      </c>
      <c r="F1" s="13" t="s">
        <v>7</v>
      </c>
      <c r="G1" s="13" t="s">
        <v>8</v>
      </c>
      <c r="H1" t="s">
        <v>252</v>
      </c>
    </row>
    <row r="2" spans="1:8" ht="22.5" customHeight="1" x14ac:dyDescent="0.3">
      <c r="A2" s="14">
        <v>1</v>
      </c>
      <c r="B2" s="14" t="s">
        <v>159</v>
      </c>
      <c r="C2" s="14" t="s">
        <v>160</v>
      </c>
      <c r="D2" s="14">
        <v>970425</v>
      </c>
      <c r="E2" s="14" t="s">
        <v>10</v>
      </c>
      <c r="F2" s="15" t="s">
        <v>9</v>
      </c>
      <c r="G2" s="14" t="s">
        <v>10</v>
      </c>
      <c r="H2" t="s">
        <v>253</v>
      </c>
    </row>
    <row r="3" spans="1:8" ht="22.5" customHeight="1" x14ac:dyDescent="0.3">
      <c r="A3" s="14">
        <v>2</v>
      </c>
      <c r="B3" s="14" t="s">
        <v>11</v>
      </c>
      <c r="C3" s="14" t="s">
        <v>13</v>
      </c>
      <c r="D3" s="14">
        <v>970416</v>
      </c>
      <c r="E3" s="14" t="s">
        <v>13</v>
      </c>
      <c r="F3" s="15" t="s">
        <v>12</v>
      </c>
      <c r="G3" s="14" t="s">
        <v>13</v>
      </c>
      <c r="H3" t="s">
        <v>254</v>
      </c>
    </row>
    <row r="4" spans="1:8" ht="22.5" customHeight="1" x14ac:dyDescent="0.3">
      <c r="A4" s="14">
        <v>3</v>
      </c>
      <c r="B4" s="14" t="s">
        <v>14</v>
      </c>
      <c r="C4" s="14" t="s">
        <v>161</v>
      </c>
      <c r="D4" s="14">
        <v>970409</v>
      </c>
      <c r="E4" s="14" t="s">
        <v>16</v>
      </c>
      <c r="F4" s="15" t="s">
        <v>15</v>
      </c>
      <c r="G4" s="14" t="s">
        <v>16</v>
      </c>
      <c r="H4" t="s">
        <v>255</v>
      </c>
    </row>
    <row r="5" spans="1:8" ht="22.5" customHeight="1" x14ac:dyDescent="0.3">
      <c r="A5" s="14">
        <v>4</v>
      </c>
      <c r="B5" s="14" t="s">
        <v>17</v>
      </c>
      <c r="C5" s="14" t="s">
        <v>19</v>
      </c>
      <c r="D5" s="14">
        <v>970418</v>
      </c>
      <c r="E5" s="14" t="s">
        <v>19</v>
      </c>
      <c r="F5" s="15" t="s">
        <v>18</v>
      </c>
      <c r="G5" s="14" t="s">
        <v>19</v>
      </c>
      <c r="H5" t="s">
        <v>23</v>
      </c>
    </row>
    <row r="6" spans="1:8" ht="22.5" customHeight="1" x14ac:dyDescent="0.3">
      <c r="A6" s="14">
        <v>5</v>
      </c>
      <c r="B6" s="14" t="s">
        <v>20</v>
      </c>
      <c r="C6" s="14" t="s">
        <v>162</v>
      </c>
      <c r="D6" s="14">
        <v>970438</v>
      </c>
      <c r="E6" s="14" t="s">
        <v>22</v>
      </c>
      <c r="F6" s="15" t="s">
        <v>21</v>
      </c>
      <c r="G6" s="14" t="s">
        <v>22</v>
      </c>
      <c r="H6" s="27" t="s">
        <v>256</v>
      </c>
    </row>
    <row r="7" spans="1:8" ht="22.5" customHeight="1" x14ac:dyDescent="0.3">
      <c r="A7" s="14">
        <v>6</v>
      </c>
      <c r="B7" s="14" t="s">
        <v>24</v>
      </c>
      <c r="C7" s="14" t="s">
        <v>163</v>
      </c>
      <c r="D7" s="14">
        <v>970444</v>
      </c>
      <c r="E7" s="14" t="s">
        <v>26</v>
      </c>
      <c r="F7" s="15" t="s">
        <v>25</v>
      </c>
      <c r="G7" s="14" t="s">
        <v>26</v>
      </c>
    </row>
    <row r="8" spans="1:8" ht="22.5" customHeight="1" x14ac:dyDescent="0.3">
      <c r="A8" s="14">
        <v>7</v>
      </c>
      <c r="B8" s="14" t="s">
        <v>27</v>
      </c>
      <c r="C8" s="14" t="s">
        <v>29</v>
      </c>
      <c r="D8" s="14">
        <v>422589</v>
      </c>
      <c r="E8" s="14" t="s">
        <v>29</v>
      </c>
      <c r="F8" s="15" t="s">
        <v>28</v>
      </c>
      <c r="G8" s="14" t="s">
        <v>29</v>
      </c>
    </row>
    <row r="9" spans="1:8" ht="22.5" customHeight="1" x14ac:dyDescent="0.3">
      <c r="A9" s="14">
        <v>8</v>
      </c>
      <c r="B9" s="14" t="s">
        <v>164</v>
      </c>
      <c r="C9" s="14" t="s">
        <v>165</v>
      </c>
      <c r="D9" s="14">
        <v>796500</v>
      </c>
      <c r="E9" s="14" t="s">
        <v>166</v>
      </c>
      <c r="F9" s="15" t="s">
        <v>167</v>
      </c>
      <c r="G9" s="14" t="s">
        <v>166</v>
      </c>
    </row>
    <row r="10" spans="1:8" ht="22.5" customHeight="1" x14ac:dyDescent="0.3">
      <c r="A10" s="14">
        <v>9</v>
      </c>
      <c r="B10" s="14" t="s">
        <v>30</v>
      </c>
      <c r="C10" s="14" t="s">
        <v>32</v>
      </c>
      <c r="D10" s="14">
        <v>970406</v>
      </c>
      <c r="E10" s="14" t="s">
        <v>32</v>
      </c>
      <c r="F10" s="15" t="s">
        <v>31</v>
      </c>
      <c r="G10" s="14" t="s">
        <v>32</v>
      </c>
    </row>
    <row r="11" spans="1:8" ht="22.5" customHeight="1" x14ac:dyDescent="0.3">
      <c r="A11" s="14">
        <v>10</v>
      </c>
      <c r="B11" s="14" t="s">
        <v>168</v>
      </c>
      <c r="C11" s="14" t="s">
        <v>169</v>
      </c>
      <c r="D11" s="14">
        <v>970431</v>
      </c>
      <c r="E11" s="14" t="s">
        <v>170</v>
      </c>
      <c r="F11" s="15" t="s">
        <v>171</v>
      </c>
      <c r="G11" s="14" t="s">
        <v>170</v>
      </c>
    </row>
    <row r="12" spans="1:8" ht="22.5" customHeight="1" x14ac:dyDescent="0.3">
      <c r="A12" s="14">
        <v>11</v>
      </c>
      <c r="B12" s="14" t="s">
        <v>33</v>
      </c>
      <c r="C12" s="14" t="s">
        <v>172</v>
      </c>
      <c r="D12" s="14">
        <v>970408</v>
      </c>
      <c r="E12" s="14" t="s">
        <v>35</v>
      </c>
      <c r="F12" s="15" t="s">
        <v>34</v>
      </c>
      <c r="G12" s="14" t="s">
        <v>35</v>
      </c>
    </row>
    <row r="13" spans="1:8" ht="22.5" customHeight="1" x14ac:dyDescent="0.3">
      <c r="A13" s="14">
        <v>12</v>
      </c>
      <c r="B13" s="14" t="s">
        <v>36</v>
      </c>
      <c r="C13" s="14" t="s">
        <v>173</v>
      </c>
      <c r="D13" s="14">
        <v>970437</v>
      </c>
      <c r="E13" s="14" t="s">
        <v>38</v>
      </c>
      <c r="F13" s="15" t="s">
        <v>37</v>
      </c>
      <c r="G13" s="14" t="s">
        <v>38</v>
      </c>
    </row>
    <row r="14" spans="1:8" ht="22.5" customHeight="1" x14ac:dyDescent="0.3">
      <c r="A14" s="14">
        <v>13</v>
      </c>
      <c r="B14" s="14" t="s">
        <v>39</v>
      </c>
      <c r="C14" s="14" t="s">
        <v>174</v>
      </c>
      <c r="D14" s="14">
        <v>970442</v>
      </c>
      <c r="E14" s="14" t="s">
        <v>41</v>
      </c>
      <c r="F14" s="15" t="s">
        <v>40</v>
      </c>
      <c r="G14" s="14" t="s">
        <v>41</v>
      </c>
    </row>
    <row r="15" spans="1:8" ht="22.5" customHeight="1" x14ac:dyDescent="0.3">
      <c r="A15" s="14">
        <v>14</v>
      </c>
      <c r="B15" s="14" t="s">
        <v>42</v>
      </c>
      <c r="C15" s="14" t="s">
        <v>44</v>
      </c>
      <c r="D15" s="14">
        <v>458761</v>
      </c>
      <c r="E15" s="14" t="s">
        <v>44</v>
      </c>
      <c r="F15" s="15" t="s">
        <v>43</v>
      </c>
      <c r="G15" s="14" t="s">
        <v>44</v>
      </c>
    </row>
    <row r="16" spans="1:8" ht="22.5" customHeight="1" x14ac:dyDescent="0.3">
      <c r="A16" s="14">
        <v>15</v>
      </c>
      <c r="B16" s="14" t="s">
        <v>175</v>
      </c>
      <c r="C16" s="14" t="s">
        <v>176</v>
      </c>
      <c r="D16" s="14">
        <v>970455</v>
      </c>
      <c r="E16" s="14" t="s">
        <v>177</v>
      </c>
      <c r="F16" s="15" t="s">
        <v>178</v>
      </c>
      <c r="G16" s="14" t="s">
        <v>177</v>
      </c>
    </row>
    <row r="17" spans="1:7" ht="22.5" customHeight="1" x14ac:dyDescent="0.3">
      <c r="A17" s="14">
        <v>16</v>
      </c>
      <c r="B17" s="14" t="s">
        <v>179</v>
      </c>
      <c r="C17" s="14" t="s">
        <v>180</v>
      </c>
      <c r="D17" s="14">
        <v>970456</v>
      </c>
      <c r="E17" s="14" t="s">
        <v>181</v>
      </c>
      <c r="F17" s="15" t="s">
        <v>178</v>
      </c>
      <c r="G17" s="14" t="s">
        <v>181</v>
      </c>
    </row>
    <row r="18" spans="1:7" ht="22.5" customHeight="1" x14ac:dyDescent="0.3">
      <c r="A18" s="14">
        <v>17</v>
      </c>
      <c r="B18" s="14" t="s">
        <v>45</v>
      </c>
      <c r="C18" s="14" t="s">
        <v>182</v>
      </c>
      <c r="D18" s="14">
        <v>970415</v>
      </c>
      <c r="E18" s="14" t="s">
        <v>47</v>
      </c>
      <c r="F18" s="15" t="s">
        <v>46</v>
      </c>
      <c r="G18" s="14" t="s">
        <v>47</v>
      </c>
    </row>
    <row r="19" spans="1:7" ht="22.5" customHeight="1" x14ac:dyDescent="0.3">
      <c r="A19" s="14">
        <v>18</v>
      </c>
      <c r="B19" s="14" t="s">
        <v>183</v>
      </c>
      <c r="C19" s="14" t="s">
        <v>184</v>
      </c>
      <c r="D19" s="14">
        <v>970434</v>
      </c>
      <c r="E19" s="14" t="s">
        <v>185</v>
      </c>
      <c r="F19" s="15" t="s">
        <v>186</v>
      </c>
      <c r="G19" s="14" t="s">
        <v>185</v>
      </c>
    </row>
    <row r="20" spans="1:7" ht="22.5" customHeight="1" x14ac:dyDescent="0.3">
      <c r="A20" s="14">
        <v>19</v>
      </c>
      <c r="B20" s="14" t="s">
        <v>48</v>
      </c>
      <c r="C20" s="14" t="s">
        <v>187</v>
      </c>
      <c r="D20" s="14">
        <v>970452</v>
      </c>
      <c r="E20" s="14" t="s">
        <v>50</v>
      </c>
      <c r="F20" s="15" t="s">
        <v>49</v>
      </c>
      <c r="G20" s="14" t="s">
        <v>50</v>
      </c>
    </row>
    <row r="21" spans="1:7" ht="22.5" customHeight="1" x14ac:dyDescent="0.3">
      <c r="A21" s="14">
        <v>20</v>
      </c>
      <c r="B21" s="14" t="s">
        <v>188</v>
      </c>
      <c r="C21" s="14" t="s">
        <v>189</v>
      </c>
      <c r="D21" s="14">
        <v>970449</v>
      </c>
      <c r="E21" s="14" t="s">
        <v>190</v>
      </c>
      <c r="F21" s="15" t="s">
        <v>191</v>
      </c>
      <c r="G21" s="14" t="s">
        <v>190</v>
      </c>
    </row>
    <row r="22" spans="1:7" ht="22.5" customHeight="1" x14ac:dyDescent="0.3">
      <c r="A22" s="14">
        <v>21</v>
      </c>
      <c r="B22" s="14" t="s">
        <v>51</v>
      </c>
      <c r="C22" s="14" t="s">
        <v>192</v>
      </c>
      <c r="D22" s="14">
        <v>970422</v>
      </c>
      <c r="E22" s="14" t="s">
        <v>53</v>
      </c>
      <c r="F22" s="15" t="s">
        <v>52</v>
      </c>
      <c r="G22" s="14" t="s">
        <v>53</v>
      </c>
    </row>
    <row r="23" spans="1:7" ht="22.5" customHeight="1" x14ac:dyDescent="0.3">
      <c r="A23" s="14">
        <v>22</v>
      </c>
      <c r="B23" s="14" t="s">
        <v>54</v>
      </c>
      <c r="C23" s="14" t="s">
        <v>56</v>
      </c>
      <c r="D23" s="14">
        <v>970426</v>
      </c>
      <c r="E23" s="14" t="s">
        <v>56</v>
      </c>
      <c r="F23" s="15" t="s">
        <v>55</v>
      </c>
      <c r="G23" s="14" t="s">
        <v>56</v>
      </c>
    </row>
    <row r="24" spans="1:7" ht="22.5" customHeight="1" x14ac:dyDescent="0.3">
      <c r="A24" s="14">
        <v>23</v>
      </c>
      <c r="B24" s="14" t="s">
        <v>57</v>
      </c>
      <c r="C24" s="14" t="s">
        <v>193</v>
      </c>
      <c r="D24" s="14">
        <v>970428</v>
      </c>
      <c r="E24" s="14" t="s">
        <v>59</v>
      </c>
      <c r="F24" s="15" t="s">
        <v>58</v>
      </c>
      <c r="G24" s="14" t="s">
        <v>59</v>
      </c>
    </row>
    <row r="25" spans="1:7" ht="22.5" customHeight="1" x14ac:dyDescent="0.3">
      <c r="A25" s="14">
        <v>24</v>
      </c>
      <c r="B25" s="14" t="s">
        <v>60</v>
      </c>
      <c r="C25" s="14" t="s">
        <v>62</v>
      </c>
      <c r="D25" s="14">
        <v>970419</v>
      </c>
      <c r="E25" s="14" t="s">
        <v>62</v>
      </c>
      <c r="F25" s="15" t="s">
        <v>61</v>
      </c>
      <c r="G25" s="14" t="s">
        <v>62</v>
      </c>
    </row>
    <row r="26" spans="1:7" ht="22.5" customHeight="1" x14ac:dyDescent="0.3">
      <c r="A26" s="14">
        <v>25</v>
      </c>
      <c r="B26" s="14" t="s">
        <v>194</v>
      </c>
      <c r="C26" s="14" t="s">
        <v>195</v>
      </c>
      <c r="D26" s="14">
        <v>801011</v>
      </c>
      <c r="E26" s="14" t="s">
        <v>196</v>
      </c>
      <c r="F26" s="15" t="s">
        <v>197</v>
      </c>
      <c r="G26" s="14" t="s">
        <v>196</v>
      </c>
    </row>
    <row r="27" spans="1:7" ht="22.5" customHeight="1" x14ac:dyDescent="0.3">
      <c r="A27" s="14">
        <v>26</v>
      </c>
      <c r="B27" s="14" t="s">
        <v>63</v>
      </c>
      <c r="C27" s="14" t="s">
        <v>65</v>
      </c>
      <c r="D27" s="14">
        <v>970448</v>
      </c>
      <c r="E27" s="14" t="s">
        <v>65</v>
      </c>
      <c r="F27" s="15" t="s">
        <v>64</v>
      </c>
      <c r="G27" s="14" t="s">
        <v>65</v>
      </c>
    </row>
    <row r="28" spans="1:7" ht="22.5" customHeight="1" x14ac:dyDescent="0.3">
      <c r="A28" s="14">
        <v>27</v>
      </c>
      <c r="B28" s="14" t="s">
        <v>198</v>
      </c>
      <c r="C28" s="14" t="s">
        <v>199</v>
      </c>
      <c r="D28" s="14">
        <v>970414</v>
      </c>
      <c r="E28" s="14" t="s">
        <v>199</v>
      </c>
      <c r="F28" s="15" t="s">
        <v>200</v>
      </c>
      <c r="G28" s="14" t="s">
        <v>199</v>
      </c>
    </row>
    <row r="29" spans="1:7" ht="22.5" customHeight="1" x14ac:dyDescent="0.3">
      <c r="A29" s="14">
        <v>28</v>
      </c>
      <c r="B29" s="14" t="s">
        <v>66</v>
      </c>
      <c r="C29" s="14" t="s">
        <v>201</v>
      </c>
      <c r="D29" s="14">
        <v>970439</v>
      </c>
      <c r="E29" s="14" t="s">
        <v>68</v>
      </c>
      <c r="F29" s="15" t="s">
        <v>67</v>
      </c>
      <c r="G29" s="14" t="s">
        <v>68</v>
      </c>
    </row>
    <row r="30" spans="1:7" ht="22.5" customHeight="1" x14ac:dyDescent="0.3">
      <c r="A30" s="14">
        <v>29</v>
      </c>
      <c r="B30" s="14" t="s">
        <v>202</v>
      </c>
      <c r="C30" s="14" t="s">
        <v>203</v>
      </c>
      <c r="D30" s="14">
        <v>970430</v>
      </c>
      <c r="E30" s="14" t="s">
        <v>204</v>
      </c>
      <c r="F30" s="15" t="s">
        <v>205</v>
      </c>
      <c r="G30" s="14" t="s">
        <v>204</v>
      </c>
    </row>
    <row r="31" spans="1:7" ht="22.5" customHeight="1" x14ac:dyDescent="0.3">
      <c r="A31" s="14">
        <v>30</v>
      </c>
      <c r="B31" s="14" t="s">
        <v>69</v>
      </c>
      <c r="C31" s="14" t="s">
        <v>206</v>
      </c>
      <c r="D31" s="14">
        <v>970412</v>
      </c>
      <c r="E31" s="14" t="s">
        <v>71</v>
      </c>
      <c r="F31" s="15" t="s">
        <v>70</v>
      </c>
      <c r="G31" s="14" t="s">
        <v>71</v>
      </c>
    </row>
    <row r="32" spans="1:7" ht="22.5" customHeight="1" x14ac:dyDescent="0.3">
      <c r="A32" s="14">
        <v>31</v>
      </c>
      <c r="B32" s="14" t="s">
        <v>72</v>
      </c>
      <c r="C32" s="14" t="s">
        <v>74</v>
      </c>
      <c r="D32" s="14">
        <v>970429</v>
      </c>
      <c r="E32" s="14" t="s">
        <v>74</v>
      </c>
      <c r="F32" s="15" t="s">
        <v>73</v>
      </c>
      <c r="G32" s="14" t="s">
        <v>74</v>
      </c>
    </row>
    <row r="33" spans="1:7" ht="22.5" customHeight="1" x14ac:dyDescent="0.3">
      <c r="A33" s="14">
        <v>32</v>
      </c>
      <c r="B33" s="14" t="s">
        <v>75</v>
      </c>
      <c r="C33" s="14" t="s">
        <v>207</v>
      </c>
      <c r="D33" s="14">
        <v>970410</v>
      </c>
      <c r="E33" s="14" t="s">
        <v>77</v>
      </c>
      <c r="F33" s="15" t="s">
        <v>76</v>
      </c>
      <c r="G33" s="14" t="s">
        <v>77</v>
      </c>
    </row>
    <row r="34" spans="1:7" ht="22.5" customHeight="1" x14ac:dyDescent="0.3">
      <c r="A34" s="14">
        <v>33</v>
      </c>
      <c r="B34" s="14" t="s">
        <v>78</v>
      </c>
      <c r="C34" s="14" t="s">
        <v>208</v>
      </c>
      <c r="D34" s="14">
        <v>970440</v>
      </c>
      <c r="E34" s="14" t="s">
        <v>80</v>
      </c>
      <c r="F34" s="15" t="s">
        <v>79</v>
      </c>
      <c r="G34" s="14" t="s">
        <v>80</v>
      </c>
    </row>
    <row r="35" spans="1:7" ht="22.5" customHeight="1" x14ac:dyDescent="0.3">
      <c r="A35" s="14">
        <v>34</v>
      </c>
      <c r="B35" s="14" t="s">
        <v>81</v>
      </c>
      <c r="C35" s="14" t="s">
        <v>209</v>
      </c>
      <c r="D35" s="14">
        <v>970400</v>
      </c>
      <c r="E35" s="14" t="s">
        <v>83</v>
      </c>
      <c r="F35" s="15" t="s">
        <v>82</v>
      </c>
      <c r="G35" s="14" t="s">
        <v>83</v>
      </c>
    </row>
    <row r="36" spans="1:7" ht="22.5" customHeight="1" x14ac:dyDescent="0.3">
      <c r="A36" s="14">
        <v>35</v>
      </c>
      <c r="B36" s="14" t="s">
        <v>84</v>
      </c>
      <c r="C36" s="14" t="s">
        <v>86</v>
      </c>
      <c r="D36" s="14">
        <v>970443</v>
      </c>
      <c r="E36" s="14" t="s">
        <v>86</v>
      </c>
      <c r="F36" s="15" t="s">
        <v>85</v>
      </c>
      <c r="G36" s="14" t="s">
        <v>86</v>
      </c>
    </row>
    <row r="37" spans="1:7" ht="22.5" customHeight="1" x14ac:dyDescent="0.3">
      <c r="A37" s="14">
        <v>36</v>
      </c>
      <c r="B37" s="14" t="s">
        <v>87</v>
      </c>
      <c r="C37" s="14" t="s">
        <v>210</v>
      </c>
      <c r="D37" s="14">
        <v>970403</v>
      </c>
      <c r="E37" s="14" t="s">
        <v>89</v>
      </c>
      <c r="F37" s="15" t="s">
        <v>88</v>
      </c>
      <c r="G37" s="14" t="s">
        <v>89</v>
      </c>
    </row>
    <row r="38" spans="1:7" ht="22.5" customHeight="1" x14ac:dyDescent="0.3">
      <c r="A38" s="14">
        <v>37</v>
      </c>
      <c r="B38" s="14" t="s">
        <v>90</v>
      </c>
      <c r="C38" s="14" t="s">
        <v>211</v>
      </c>
      <c r="D38" s="14">
        <v>970424</v>
      </c>
      <c r="E38" s="14" t="s">
        <v>92</v>
      </c>
      <c r="F38" s="15" t="s">
        <v>91</v>
      </c>
      <c r="G38" s="14" t="s">
        <v>92</v>
      </c>
    </row>
    <row r="39" spans="1:7" ht="22.5" customHeight="1" x14ac:dyDescent="0.3">
      <c r="A39" s="14">
        <v>38</v>
      </c>
      <c r="B39" s="14" t="s">
        <v>93</v>
      </c>
      <c r="C39" s="14" t="s">
        <v>212</v>
      </c>
      <c r="D39" s="14">
        <v>970407</v>
      </c>
      <c r="E39" s="14" t="s">
        <v>95</v>
      </c>
      <c r="F39" s="15" t="s">
        <v>94</v>
      </c>
      <c r="G39" s="14" t="s">
        <v>95</v>
      </c>
    </row>
    <row r="40" spans="1:7" ht="22.5" customHeight="1" x14ac:dyDescent="0.3">
      <c r="A40" s="14">
        <v>39</v>
      </c>
      <c r="B40" s="14" t="s">
        <v>96</v>
      </c>
      <c r="C40" s="14" t="s">
        <v>213</v>
      </c>
      <c r="D40" s="14">
        <v>970423</v>
      </c>
      <c r="E40" s="14" t="s">
        <v>98</v>
      </c>
      <c r="F40" s="15" t="s">
        <v>97</v>
      </c>
      <c r="G40" s="14" t="s">
        <v>98</v>
      </c>
    </row>
    <row r="41" spans="1:7" ht="22.5" customHeight="1" x14ac:dyDescent="0.3">
      <c r="A41" s="14">
        <v>40</v>
      </c>
      <c r="B41" s="14" t="s">
        <v>99</v>
      </c>
      <c r="C41" s="14" t="s">
        <v>214</v>
      </c>
      <c r="D41" s="14">
        <v>970458</v>
      </c>
      <c r="E41" s="14" t="s">
        <v>101</v>
      </c>
      <c r="F41" s="15" t="s">
        <v>100</v>
      </c>
      <c r="G41" s="14" t="s">
        <v>101</v>
      </c>
    </row>
    <row r="42" spans="1:7" ht="22.5" customHeight="1" x14ac:dyDescent="0.3">
      <c r="A42" s="14">
        <v>41</v>
      </c>
      <c r="B42" s="14" t="s">
        <v>102</v>
      </c>
      <c r="C42" s="14" t="s">
        <v>215</v>
      </c>
      <c r="D42" s="14">
        <v>970427</v>
      </c>
      <c r="E42" s="14" t="s">
        <v>104</v>
      </c>
      <c r="F42" s="15" t="s">
        <v>103</v>
      </c>
      <c r="G42" s="14" t="s">
        <v>104</v>
      </c>
    </row>
    <row r="43" spans="1:7" ht="22.5" customHeight="1" x14ac:dyDescent="0.3">
      <c r="A43" s="14">
        <v>42</v>
      </c>
      <c r="B43" s="14" t="s">
        <v>105</v>
      </c>
      <c r="C43" s="14" t="s">
        <v>216</v>
      </c>
      <c r="D43" s="14">
        <v>970405</v>
      </c>
      <c r="E43" s="14" t="s">
        <v>107</v>
      </c>
      <c r="F43" s="15" t="s">
        <v>106</v>
      </c>
      <c r="G43" s="14" t="s">
        <v>107</v>
      </c>
    </row>
    <row r="44" spans="1:7" ht="22.5" customHeight="1" x14ac:dyDescent="0.3">
      <c r="A44" s="14">
        <v>43</v>
      </c>
      <c r="B44" s="14" t="s">
        <v>108</v>
      </c>
      <c r="C44" s="14" t="s">
        <v>217</v>
      </c>
      <c r="D44" s="14">
        <v>970436</v>
      </c>
      <c r="E44" s="14" t="s">
        <v>110</v>
      </c>
      <c r="F44" s="15" t="s">
        <v>109</v>
      </c>
      <c r="G44" s="14" t="s">
        <v>110</v>
      </c>
    </row>
    <row r="45" spans="1:7" ht="22.5" customHeight="1" x14ac:dyDescent="0.3">
      <c r="A45" s="14">
        <v>44</v>
      </c>
      <c r="B45" s="14" t="s">
        <v>111</v>
      </c>
      <c r="C45" s="14" t="s">
        <v>218</v>
      </c>
      <c r="D45" s="14">
        <v>970454</v>
      </c>
      <c r="E45" s="14" t="s">
        <v>113</v>
      </c>
      <c r="F45" s="15" t="s">
        <v>112</v>
      </c>
      <c r="G45" s="14" t="s">
        <v>113</v>
      </c>
    </row>
    <row r="46" spans="1:7" ht="22.5" customHeight="1" x14ac:dyDescent="0.3">
      <c r="A46" s="14">
        <v>45</v>
      </c>
      <c r="B46" s="14" t="s">
        <v>114</v>
      </c>
      <c r="C46" s="14" t="s">
        <v>116</v>
      </c>
      <c r="D46" s="14">
        <v>970441</v>
      </c>
      <c r="E46" s="14" t="s">
        <v>116</v>
      </c>
      <c r="F46" s="15" t="s">
        <v>115</v>
      </c>
      <c r="G46" s="14" t="s">
        <v>116</v>
      </c>
    </row>
    <row r="47" spans="1:7" ht="22.5" customHeight="1" x14ac:dyDescent="0.3">
      <c r="A47" s="14">
        <v>46</v>
      </c>
      <c r="B47" s="14" t="s">
        <v>117</v>
      </c>
      <c r="C47" s="14" t="s">
        <v>219</v>
      </c>
      <c r="D47" s="14">
        <v>970433</v>
      </c>
      <c r="E47" s="14" t="s">
        <v>119</v>
      </c>
      <c r="F47" s="15" t="s">
        <v>118</v>
      </c>
      <c r="G47" s="14" t="s">
        <v>119</v>
      </c>
    </row>
    <row r="48" spans="1:7" ht="22.5" customHeight="1" x14ac:dyDescent="0.3">
      <c r="A48" s="14">
        <v>47</v>
      </c>
      <c r="B48" s="14" t="s">
        <v>120</v>
      </c>
      <c r="C48" s="14" t="s">
        <v>220</v>
      </c>
      <c r="D48" s="14">
        <v>970432</v>
      </c>
      <c r="E48" s="14" t="s">
        <v>122</v>
      </c>
      <c r="F48" s="15" t="s">
        <v>121</v>
      </c>
      <c r="G48" s="14" t="s">
        <v>122</v>
      </c>
    </row>
    <row r="49" spans="1:7" ht="22.5" customHeight="1" x14ac:dyDescent="0.3">
      <c r="A49" s="14">
        <v>48</v>
      </c>
      <c r="B49" s="14" t="s">
        <v>123</v>
      </c>
      <c r="C49" s="14" t="s">
        <v>125</v>
      </c>
      <c r="D49" s="14">
        <v>970421</v>
      </c>
      <c r="E49" s="14" t="s">
        <v>125</v>
      </c>
      <c r="F49" s="15" t="s">
        <v>124</v>
      </c>
      <c r="G49" s="14" t="s">
        <v>125</v>
      </c>
    </row>
    <row r="50" spans="1:7" ht="22.5" customHeight="1" x14ac:dyDescent="0.3">
      <c r="A50" s="14">
        <v>49</v>
      </c>
      <c r="B50" s="14" t="s">
        <v>126</v>
      </c>
      <c r="C50" s="14" t="s">
        <v>221</v>
      </c>
      <c r="D50" s="14">
        <v>970457</v>
      </c>
      <c r="E50" s="14" t="s">
        <v>128</v>
      </c>
      <c r="F50" s="15" t="s">
        <v>127</v>
      </c>
      <c r="G50" s="14" t="s">
        <v>128</v>
      </c>
    </row>
    <row r="51" spans="1:7" ht="22.5" customHeight="1" x14ac:dyDescent="0.3">
      <c r="A51" s="14">
        <v>50</v>
      </c>
      <c r="B51" s="14" t="s">
        <v>129</v>
      </c>
      <c r="C51" s="14" t="s">
        <v>222</v>
      </c>
      <c r="D51" s="14">
        <v>970462</v>
      </c>
      <c r="E51" s="14" t="s">
        <v>131</v>
      </c>
      <c r="F51" s="15" t="s">
        <v>130</v>
      </c>
      <c r="G51" s="14" t="s">
        <v>131</v>
      </c>
    </row>
    <row r="52" spans="1:7" ht="22.5" customHeight="1" x14ac:dyDescent="0.3">
      <c r="A52" s="14">
        <v>51</v>
      </c>
      <c r="B52" s="14" t="s">
        <v>132</v>
      </c>
      <c r="C52" s="14" t="s">
        <v>223</v>
      </c>
      <c r="D52" s="14">
        <v>970463</v>
      </c>
      <c r="E52" s="14" t="s">
        <v>134</v>
      </c>
      <c r="F52" s="15" t="s">
        <v>133</v>
      </c>
      <c r="G52" s="14" t="s">
        <v>134</v>
      </c>
    </row>
    <row r="53" spans="1:7" ht="22.5" customHeight="1" x14ac:dyDescent="0.3">
      <c r="A53" s="14">
        <v>52</v>
      </c>
      <c r="B53" s="14" t="s">
        <v>135</v>
      </c>
      <c r="C53" s="14" t="s">
        <v>137</v>
      </c>
      <c r="D53" s="14">
        <v>970446</v>
      </c>
      <c r="E53" s="14" t="s">
        <v>137</v>
      </c>
      <c r="F53" s="15" t="s">
        <v>136</v>
      </c>
      <c r="G53" s="14" t="s">
        <v>137</v>
      </c>
    </row>
    <row r="54" spans="1:7" ht="22.5" customHeight="1" x14ac:dyDescent="0.3">
      <c r="A54" s="14">
        <v>53</v>
      </c>
      <c r="B54" s="14" t="s">
        <v>138</v>
      </c>
      <c r="C54" s="14" t="s">
        <v>140</v>
      </c>
      <c r="D54" s="14">
        <v>546034</v>
      </c>
      <c r="E54" s="14" t="s">
        <v>140</v>
      </c>
      <c r="F54" s="15" t="s">
        <v>139</v>
      </c>
      <c r="G54" s="14" t="s">
        <v>140</v>
      </c>
    </row>
    <row r="55" spans="1:7" ht="22.5" customHeight="1" x14ac:dyDescent="0.3">
      <c r="A55" s="14">
        <v>54</v>
      </c>
      <c r="B55" s="14" t="s">
        <v>141</v>
      </c>
      <c r="C55" s="14" t="s">
        <v>143</v>
      </c>
      <c r="D55" s="14">
        <v>546035</v>
      </c>
      <c r="E55" s="14" t="s">
        <v>143</v>
      </c>
      <c r="F55" s="15" t="s">
        <v>142</v>
      </c>
      <c r="G55" s="14" t="s">
        <v>143</v>
      </c>
    </row>
    <row r="56" spans="1:7" ht="22.5" customHeight="1" x14ac:dyDescent="0.3">
      <c r="A56" s="14">
        <v>55</v>
      </c>
      <c r="B56" s="14" t="s">
        <v>144</v>
      </c>
      <c r="C56" s="14" t="s">
        <v>146</v>
      </c>
      <c r="D56" s="14">
        <v>668888</v>
      </c>
      <c r="E56" s="14" t="s">
        <v>146</v>
      </c>
      <c r="F56" s="15" t="s">
        <v>145</v>
      </c>
      <c r="G56" s="14" t="s">
        <v>146</v>
      </c>
    </row>
    <row r="57" spans="1:7" ht="22.5" customHeight="1" x14ac:dyDescent="0.3">
      <c r="A57" s="14">
        <v>56</v>
      </c>
      <c r="B57" s="14" t="s">
        <v>224</v>
      </c>
      <c r="C57" s="14" t="s">
        <v>225</v>
      </c>
      <c r="D57" s="14">
        <v>971011</v>
      </c>
      <c r="E57" s="14" t="s">
        <v>226</v>
      </c>
      <c r="F57" s="15" t="s">
        <v>227</v>
      </c>
      <c r="G57" s="14" t="s">
        <v>226</v>
      </c>
    </row>
    <row r="58" spans="1:7" ht="22.5" customHeight="1" x14ac:dyDescent="0.3">
      <c r="A58" s="14">
        <v>57</v>
      </c>
      <c r="B58" s="14" t="s">
        <v>228</v>
      </c>
      <c r="C58" s="14" t="s">
        <v>229</v>
      </c>
      <c r="D58" s="14">
        <v>971005</v>
      </c>
      <c r="E58" s="14" t="s">
        <v>230</v>
      </c>
      <c r="F58" s="15" t="s">
        <v>231</v>
      </c>
      <c r="G58" s="14" t="s">
        <v>230</v>
      </c>
    </row>
    <row r="59" spans="1:7" ht="22.5" customHeight="1" x14ac:dyDescent="0.3">
      <c r="A59" s="14">
        <v>58</v>
      </c>
      <c r="B59" s="14" t="s">
        <v>147</v>
      </c>
      <c r="C59" s="14" t="s">
        <v>232</v>
      </c>
      <c r="D59" s="14">
        <v>963388</v>
      </c>
      <c r="E59" s="14" t="s">
        <v>149</v>
      </c>
      <c r="F59" s="15" t="s">
        <v>148</v>
      </c>
      <c r="G59" s="14" t="s">
        <v>149</v>
      </c>
    </row>
    <row r="60" spans="1:7" ht="22.5" customHeight="1" x14ac:dyDescent="0.3">
      <c r="A60" s="14">
        <v>59</v>
      </c>
      <c r="B60" s="14" t="s">
        <v>150</v>
      </c>
      <c r="C60" s="14" t="s">
        <v>233</v>
      </c>
      <c r="D60" s="14">
        <v>533948</v>
      </c>
      <c r="E60" s="14" t="s">
        <v>152</v>
      </c>
      <c r="F60" s="15" t="s">
        <v>151</v>
      </c>
      <c r="G60" s="14" t="s">
        <v>152</v>
      </c>
    </row>
    <row r="61" spans="1:7" ht="22.5" customHeight="1" x14ac:dyDescent="0.3">
      <c r="A61" s="14">
        <v>60</v>
      </c>
      <c r="B61" s="14" t="s">
        <v>234</v>
      </c>
      <c r="C61" s="14" t="s">
        <v>235</v>
      </c>
      <c r="D61" s="14">
        <v>970466</v>
      </c>
      <c r="E61" s="14" t="s">
        <v>236</v>
      </c>
      <c r="F61" s="15" t="s">
        <v>237</v>
      </c>
      <c r="G61" s="14" t="s">
        <v>236</v>
      </c>
    </row>
    <row r="62" spans="1:7" ht="22.5" customHeight="1" x14ac:dyDescent="0.3">
      <c r="A62" s="14">
        <v>61</v>
      </c>
      <c r="B62" s="14" t="s">
        <v>238</v>
      </c>
      <c r="C62" s="14" t="s">
        <v>239</v>
      </c>
      <c r="D62" s="14">
        <v>970467</v>
      </c>
      <c r="E62" s="14" t="s">
        <v>239</v>
      </c>
      <c r="F62" s="15" t="s">
        <v>240</v>
      </c>
      <c r="G62" s="14" t="s">
        <v>239</v>
      </c>
    </row>
    <row r="63" spans="1:7" ht="22.5" customHeight="1" x14ac:dyDescent="0.3">
      <c r="A63" s="14">
        <v>62</v>
      </c>
      <c r="B63" s="14" t="s">
        <v>241</v>
      </c>
      <c r="C63" s="14" t="s">
        <v>242</v>
      </c>
      <c r="D63" s="14">
        <v>977777</v>
      </c>
      <c r="E63" s="14" t="s">
        <v>242</v>
      </c>
      <c r="F63" s="15" t="s">
        <v>243</v>
      </c>
      <c r="G63" s="14" t="s">
        <v>242</v>
      </c>
    </row>
    <row r="64" spans="1:7" ht="22.5" customHeight="1" x14ac:dyDescent="0.3">
      <c r="A64" s="14">
        <v>63</v>
      </c>
      <c r="B64" s="14" t="s">
        <v>244</v>
      </c>
      <c r="C64" s="14" t="s">
        <v>245</v>
      </c>
      <c r="D64" s="14">
        <v>999888</v>
      </c>
      <c r="E64" s="14" t="s">
        <v>245</v>
      </c>
      <c r="F64" s="15" t="s">
        <v>246</v>
      </c>
      <c r="G64" s="14" t="s">
        <v>245</v>
      </c>
    </row>
    <row r="65" spans="1:7" ht="22.5" customHeight="1" x14ac:dyDescent="0.3">
      <c r="A65" s="14">
        <v>64</v>
      </c>
      <c r="B65" s="14" t="s">
        <v>153</v>
      </c>
      <c r="C65" s="14" t="s">
        <v>247</v>
      </c>
      <c r="D65" s="14">
        <v>971133</v>
      </c>
      <c r="E65" s="14" t="s">
        <v>154</v>
      </c>
      <c r="F65" s="15" t="s">
        <v>70</v>
      </c>
      <c r="G65" s="14" t="s">
        <v>154</v>
      </c>
    </row>
    <row r="66" spans="1:7" ht="22.5" customHeight="1" x14ac:dyDescent="0.3">
      <c r="A66" s="14">
        <v>65</v>
      </c>
      <c r="B66" s="14" t="s">
        <v>155</v>
      </c>
      <c r="C66" s="14" t="s">
        <v>248</v>
      </c>
      <c r="D66" s="14">
        <v>971025</v>
      </c>
      <c r="E66" s="14" t="s">
        <v>157</v>
      </c>
      <c r="F66" s="15" t="s">
        <v>156</v>
      </c>
      <c r="G66" s="14" t="s">
        <v>157</v>
      </c>
    </row>
  </sheetData>
  <dataValidations count="1">
    <dataValidation type="custom" allowBlank="1" showDropDown="1" sqref="A2:A66 D2:D66" xr:uid="{00000000-0002-0000-0200-000000000000}">
      <formula1>AND(ISNUMBER(A2),(NOT(OR(NOT(ISERROR(DATEVALUE(A2))), AND(ISNUMBER(A2), LEFT(CELL("format", A2))="D")))))</formula1>
    </dataValidation>
  </dataValidations>
  <hyperlinks>
    <hyperlink ref="F2" r:id="rId1" xr:uid="{00000000-0004-0000-0200-000000000000}"/>
    <hyperlink ref="F3" r:id="rId2" xr:uid="{00000000-0004-0000-0200-000001000000}"/>
    <hyperlink ref="F4" r:id="rId3" xr:uid="{00000000-0004-0000-0200-000002000000}"/>
    <hyperlink ref="F5" r:id="rId4" xr:uid="{00000000-0004-0000-0200-000003000000}"/>
    <hyperlink ref="F6" r:id="rId5" xr:uid="{00000000-0004-0000-0200-000004000000}"/>
    <hyperlink ref="F7" r:id="rId6" xr:uid="{00000000-0004-0000-0200-000005000000}"/>
    <hyperlink ref="F8" r:id="rId7" xr:uid="{00000000-0004-0000-0200-000006000000}"/>
    <hyperlink ref="F9" r:id="rId8" xr:uid="{00000000-0004-0000-0200-000007000000}"/>
    <hyperlink ref="F10" r:id="rId9" xr:uid="{00000000-0004-0000-0200-000008000000}"/>
    <hyperlink ref="F11" r:id="rId10" xr:uid="{00000000-0004-0000-0200-000009000000}"/>
    <hyperlink ref="F12" r:id="rId11" xr:uid="{00000000-0004-0000-0200-00000A000000}"/>
    <hyperlink ref="F13" r:id="rId12" xr:uid="{00000000-0004-0000-0200-00000B000000}"/>
    <hyperlink ref="F14" r:id="rId13" xr:uid="{00000000-0004-0000-0200-00000C000000}"/>
    <hyperlink ref="F15" r:id="rId14" xr:uid="{00000000-0004-0000-0200-00000D000000}"/>
    <hyperlink ref="F16" r:id="rId15" xr:uid="{00000000-0004-0000-0200-00000E000000}"/>
    <hyperlink ref="F17" r:id="rId16" xr:uid="{00000000-0004-0000-0200-00000F000000}"/>
    <hyperlink ref="F18" r:id="rId17" xr:uid="{00000000-0004-0000-0200-000010000000}"/>
    <hyperlink ref="F19" r:id="rId18" xr:uid="{00000000-0004-0000-0200-000011000000}"/>
    <hyperlink ref="F20" r:id="rId19" xr:uid="{00000000-0004-0000-0200-000012000000}"/>
    <hyperlink ref="F21" r:id="rId20" xr:uid="{00000000-0004-0000-0200-000013000000}"/>
    <hyperlink ref="F22" r:id="rId21" xr:uid="{00000000-0004-0000-0200-000014000000}"/>
    <hyperlink ref="F23" r:id="rId22" xr:uid="{00000000-0004-0000-0200-000015000000}"/>
    <hyperlink ref="F24" r:id="rId23" xr:uid="{00000000-0004-0000-0200-000016000000}"/>
    <hyperlink ref="F25" r:id="rId24" xr:uid="{00000000-0004-0000-0200-000017000000}"/>
    <hyperlink ref="F26" r:id="rId25" xr:uid="{00000000-0004-0000-0200-000018000000}"/>
    <hyperlink ref="F27" r:id="rId26" xr:uid="{00000000-0004-0000-0200-000019000000}"/>
    <hyperlink ref="F28" r:id="rId27" xr:uid="{00000000-0004-0000-0200-00001A000000}"/>
    <hyperlink ref="F29" r:id="rId28" xr:uid="{00000000-0004-0000-0200-00001B000000}"/>
    <hyperlink ref="F30" r:id="rId29" xr:uid="{00000000-0004-0000-0200-00001C000000}"/>
    <hyperlink ref="F31" r:id="rId30" xr:uid="{00000000-0004-0000-0200-00001D000000}"/>
    <hyperlink ref="F32" r:id="rId31" xr:uid="{00000000-0004-0000-0200-00001E000000}"/>
    <hyperlink ref="F33" r:id="rId32" xr:uid="{00000000-0004-0000-0200-00001F000000}"/>
    <hyperlink ref="F34" r:id="rId33" xr:uid="{00000000-0004-0000-0200-000020000000}"/>
    <hyperlink ref="F35" r:id="rId34" xr:uid="{00000000-0004-0000-0200-000021000000}"/>
    <hyperlink ref="F36" r:id="rId35" xr:uid="{00000000-0004-0000-0200-000022000000}"/>
    <hyperlink ref="F37" r:id="rId36" xr:uid="{00000000-0004-0000-0200-000023000000}"/>
    <hyperlink ref="F38" r:id="rId37" xr:uid="{00000000-0004-0000-0200-000024000000}"/>
    <hyperlink ref="F39" r:id="rId38" xr:uid="{00000000-0004-0000-0200-000025000000}"/>
    <hyperlink ref="F40" r:id="rId39" xr:uid="{00000000-0004-0000-0200-000026000000}"/>
    <hyperlink ref="F41" r:id="rId40" xr:uid="{00000000-0004-0000-0200-000027000000}"/>
    <hyperlink ref="F42" r:id="rId41" xr:uid="{00000000-0004-0000-0200-000028000000}"/>
    <hyperlink ref="F43" r:id="rId42" xr:uid="{00000000-0004-0000-0200-000029000000}"/>
    <hyperlink ref="F44" r:id="rId43" xr:uid="{00000000-0004-0000-0200-00002A000000}"/>
    <hyperlink ref="F45" r:id="rId44" xr:uid="{00000000-0004-0000-0200-00002B000000}"/>
    <hyperlink ref="F46" r:id="rId45" xr:uid="{00000000-0004-0000-0200-00002C000000}"/>
    <hyperlink ref="F47" r:id="rId46" xr:uid="{00000000-0004-0000-0200-00002D000000}"/>
    <hyperlink ref="F48" r:id="rId47" xr:uid="{00000000-0004-0000-0200-00002E000000}"/>
    <hyperlink ref="F49" r:id="rId48" xr:uid="{00000000-0004-0000-0200-00002F000000}"/>
    <hyperlink ref="F50" r:id="rId49" xr:uid="{00000000-0004-0000-0200-000030000000}"/>
    <hyperlink ref="F51" r:id="rId50" xr:uid="{00000000-0004-0000-0200-000031000000}"/>
    <hyperlink ref="F52" r:id="rId51" xr:uid="{00000000-0004-0000-0200-000032000000}"/>
    <hyperlink ref="F53" r:id="rId52" xr:uid="{00000000-0004-0000-0200-000033000000}"/>
    <hyperlink ref="F54" r:id="rId53" xr:uid="{00000000-0004-0000-0200-000034000000}"/>
    <hyperlink ref="F55" r:id="rId54" xr:uid="{00000000-0004-0000-0200-000035000000}"/>
    <hyperlink ref="F56" r:id="rId55" xr:uid="{00000000-0004-0000-0200-000036000000}"/>
    <hyperlink ref="F57" r:id="rId56" xr:uid="{00000000-0004-0000-0200-000037000000}"/>
    <hyperlink ref="F58" r:id="rId57" xr:uid="{00000000-0004-0000-0200-000038000000}"/>
    <hyperlink ref="F59" r:id="rId58" xr:uid="{00000000-0004-0000-0200-000039000000}"/>
    <hyperlink ref="F60" r:id="rId59" xr:uid="{00000000-0004-0000-0200-00003A000000}"/>
    <hyperlink ref="F61" r:id="rId60" xr:uid="{00000000-0004-0000-0200-00003B000000}"/>
    <hyperlink ref="F62" r:id="rId61" xr:uid="{00000000-0004-0000-0200-00003C000000}"/>
    <hyperlink ref="F63" r:id="rId62" xr:uid="{00000000-0004-0000-0200-00003D000000}"/>
    <hyperlink ref="F64" r:id="rId63" xr:uid="{00000000-0004-0000-0200-00003E000000}"/>
    <hyperlink ref="F65" r:id="rId64" xr:uid="{00000000-0004-0000-0200-00003F000000}"/>
    <hyperlink ref="F66" r:id="rId65" xr:uid="{00000000-0004-0000-0200-000040000000}"/>
  </hyperlinks>
  <pageMargins left="0.7" right="0.7" top="0.75" bottom="0.75" header="0.3" footer="0.3"/>
  <tableParts count="1">
    <tablePart r:id="rId6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Viet_qr_Gsheet</vt:lpstr>
      <vt:lpstr>List_bank</vt:lpstr>
      <vt:lpstr>API - 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 Tuan Kiet Huynh</dc:creator>
  <cp:lastModifiedBy>Tran Tuan Kiet Huynh</cp:lastModifiedBy>
  <dcterms:created xsi:type="dcterms:W3CDTF">2026-06-03T08:19:01Z</dcterms:created>
  <dcterms:modified xsi:type="dcterms:W3CDTF">2026-06-03T08:50:02Z</dcterms:modified>
</cp:coreProperties>
</file>