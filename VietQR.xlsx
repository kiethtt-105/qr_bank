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3A6DAEA9-F5CA-41F7-87D2-20EE9D09F91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<sst xmlns="http://schemas.openxmlformats.org/spreadsheetml/2006/main" count="366" uniqueCount="266">
  <si>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</si>
  <si>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</si>
  <si>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</si>
  <si>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</si>
  <si>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</si>
  <si>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</si>
  <si>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</si>
  <si>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</si>
  <si>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</si>
  <si>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</si>
  <si>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</si>
  <si>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</si>
  <si>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</si>
  <si>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</si>
  <si>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</si>
  <si>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</si>
  <si>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</si>
  <si>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</si>
  <si>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</si>
  <si>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</si>
  <si>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</si>
  <si>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</si>
  <si>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</si>
  <si>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</si>
  <si>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</si>
  <si>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</si>
  <si>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</si>
  <si>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</si>
  <si>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</si>
  <si>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</si>
  <si>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</si>
  <si>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</si>
  <si>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</si>
  <si>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</si>
  <si>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</si>
  <si>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</si>
  <si>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</si>
  <si>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</si>
  <si>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</si>
  <si>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</si>
  <si>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</si>
  <si>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</si>
  <si>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</si>
  <si>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</si>
  <si>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</si>
  <si>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</si>
  <si>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</si>
  <si>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</si>
  <si>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</si>
  <si>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</si>
  <si>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</si>
  <si>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</si>
  <si>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</si>
  <si>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</si>
  <si>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</si>
  <si>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</si>
  <si>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</si>
  <si>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</si>
  <si>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</si>
  <si>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</si>
  <si>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</si>
  <si>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</si>
  <si>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</si>
  <si>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</si>
  <si>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</si>
  <si>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</si>
  <si>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</si>
  <si>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</si>
  <si>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</si>
  <si>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</si>
  <si>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</si>
  <si>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</si>
  <si>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</si>
  <si>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</si>
  <si>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</si>
  <si>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</si>
  <si>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</si>
  <si>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</si>
  <si>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</si>
  <si>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</si>
  <si>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</si>
  <si>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</si>
  <si>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</si>
  <si>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</si>
  <si>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</si>
  <si>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</si>
  <si>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</si>
  <si>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</si>
  <si>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</si>
  <si>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</si>
  <si>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</si>
  <si>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</si>
  <si>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</si>
  <si>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</si>
  <si>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</si>
  <si>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</si>
  <si>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</si>
  <si>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</si>
  <si>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</si>
  <si>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</si>
  <si>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</si>
  <si>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</si>
  <si>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</si>
  <si>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</si>
  <si>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</si>
  <si>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</si>
  <si>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</si>
  <si>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</si>
  <si>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</si>
  <si>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</si>
  <si>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</si>
  <si>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</si>
  <si>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</si>
  <si>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</si>
  <si>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</si>
  <si>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</si>
  <si>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</si>
  <si>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</si>
  <si>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</si>
  <si>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</si>
  <si>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</si>
  <si>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</si>
  <si>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</si>
  <si>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</si>
  <si>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</si>
  <si>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</si>
  <si>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</si>
  <si>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</si>
  <si>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</si>
  <si>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</si>
  <si>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</si>
  <si>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</si>
  <si>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</si>
  <si>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</si>
  <si>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</si>
  <si>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</si>
  <si>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</si>
  <si>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</si>
  <si>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</si>
  <si>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</si>
  <si>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</si>
  <si>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</si>
  <si>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</si>
  <si>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</si>
  <si>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</si>
  <si>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</si>
  <si>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</si>
  <si>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</si>
  <si>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</si>
  <si>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</si>
  <si>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</si>
  <si>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</si>
  <si>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</si>
  <si>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</si>
  <si>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</si>
  <si>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</si>
  <si>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</si>
  <si>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</si>
  <si>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</si>
  <si>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</si>
  <si>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</si>
  <si>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</si>
  <si>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</si>
  <si>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</si>
  <si>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</si>
  <si>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</si>
  <si>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</si>
  <si>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</si>
  <si>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</si>
  <si>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</si>
  <si>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</si>
  <si>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</si>
  <si>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</si>
  <si>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</si>
  <si>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</si>
  <si>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</si>
  <si>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</si>
  <si>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</si>
  <si>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</si>
  <si>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</si>
  <si>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</si>
  <si>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</si>
  <si>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</si>
  <si>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</si>
  <si>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</si>
  <si>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</si>
  <si>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</si>
  <si>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</si>
  <si>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</si>
  <si>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</si>
  <si>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</si>
  <si>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</si>
  <si>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</si>
  <si>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</si>
  <si>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</si>
  <si>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</si>
  <si>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</si>
  <si>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</si>
  <si>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</si>
  <si>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</si>
  <si>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</si>
  <si>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</si>
  <si>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</si>
  <si>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</si>
  <si>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</si>
  <si>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</si>
  <si>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</si>
  <si>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</si>
  <si>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</si>
  <si>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</si>
  <si>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</si>
  <si>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</si>
  <si>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</si>
  <si>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</si>
  <si>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</si>
  <si>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</si>
  <si>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</si>
  <si>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</si>
  <si>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</si>
  <si>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</si>
  <si>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</si>
  <si>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</si>
  <si>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</si>
  <si>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</si>
  <si>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</si>
  <si>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</si>
  <si>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</si>
  <si>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</si>
  <si>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</si>
  <si>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</si>
  <si>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</si>
  <si>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</si>
  <si>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</si>
  <si>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</si>
  <si>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</si>
  <si>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</si>
  <si>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</si>
  <si>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</si>
  <si>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</si>
  <si>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</si>
  <si>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</si>
  <si>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</si>
  <si>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</si>
  <si>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</si>
  <si>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</si>
  <si>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</si>
  <si>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</si>
  <si>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</si>
  <si>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</si>
  <si>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</si>
  <si>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</si>
  <si>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</si>
  <si>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</si>
  <si>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</si>
  <si>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</si>
  <si>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</si>
  <si>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Template</t>
  </si>
  <si>
    <t>iPA</t>
  </si>
  <si>
    <t>Phan Le Duy Khoi</t>
  </si>
  <si>
    <t>Viettel Money</t>
  </si>
  <si>
    <t>PhanLe Duy Khoi</t>
  </si>
  <si>
    <t>105878043349</t>
  </si>
  <si>
    <t>9704229201938102578</t>
  </si>
  <si>
    <t xml:space="preserve">VIB </t>
  </si>
  <si>
    <t>1031451081</t>
  </si>
  <si>
    <t>44699999999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</si>
</sst>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I3" sqref="I3"/>
    </sheetView>
  </sheetViews>
  <sheetFormatPr defaultRowHeight="15.6" x14ac:dyDescent="0.3"/>
  <cols>
    <col min="1" max="1" width="8.296875" bestFit="1" customWidth="1"/>
    <col min="2" max="2" width="18.3984375" bestFit="1" customWidth="1"/>
    <col min="3" max="3" width="20.69921875" style="3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43</v>
      </c>
      <c r="B2" t="s">
        <v>174</v>
      </c>
      <c r="C2" s="2" t="s">
        <v>264</v>
      </c>
      <c r="D2" t="s">
        <v>10</v>
      </c>
      <c r="E2" t="str">
        <f>IFERROR((VLOOKUP(A2,'API - io'!$A:$H,5,0)),"-")</f>
        <v>Vietcombank</v>
      </c>
      <c r="F2" t="str">
        <f>IFERROR((VLOOKUP(A2,'API - io'!$A:$H,3,0)),"-")</f>
        <v>VCB</v>
      </c>
      <c r="G2">
        <f>IFERROR((VLOOKUP(A2,'API - io'!$A:$G,4,0)),"-")</f>
        <v>970436</v>
      </c>
      <c r="H2" t="str">
        <f>IFERROR((VLOOKUP(A2,'API - io'!$A:$G,5,0)),"-")</f>
        <v>Vietcombank</v>
      </c>
      <c r="I2" t="str">
        <f>IFERROR((VLOOKUP(A2,'API - io'!$A:$G,6,0)),"-")</f>
        <v>https://cdn.vietqr.io/img/VCB.png</v>
      </c>
      <c r="J2" t="str">
        <f>IFERROR((VLOOKUP(A2,'API - io'!$A:$G,7,0)),"-")</f>
        <v>Vietcombank</v>
      </c>
    </row>
    <row r="3" spans="1:10" x14ac:dyDescent="0.3">
      <c r="A3">
        <v>38</v>
      </c>
      <c r="B3" t="s">
        <v>257</v>
      </c>
      <c r="C3" s="1" t="s">
        <v>254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A4">
        <v>38</v>
      </c>
      <c r="B4" t="s">
        <v>154</v>
      </c>
      <c r="C4" s="1" t="s">
        <v>265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263</v>
      </c>
      <c r="C5" s="1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21</v>
      </c>
      <c r="B6" t="s">
        <v>259</v>
      </c>
      <c r="C6" s="1" t="s">
        <v>262</v>
      </c>
      <c r="D6" t="s">
        <v>10</v>
      </c>
      <c r="E6" t="str">
        <f>IFERROR((VLOOKUP(A6,'API - io'!$A:$H,5,0)),"-")</f>
        <v>MBBank</v>
      </c>
      <c r="F6" t="str">
        <f>IFERROR((VLOOKUP(A6,'API - io'!$A:$H,3,0)),"-")</f>
        <v>MB</v>
      </c>
      <c r="G6">
        <f>IFERROR((VLOOKUP(A6,'API - io'!$A:$G,4,0)),"-")</f>
        <v>970422</v>
      </c>
      <c r="H6" t="str">
        <f>IFERROR((VLOOKUP(A6,'API - io'!$A:$G,5,0)),"-")</f>
        <v>MBBank</v>
      </c>
      <c r="I6" t="str">
        <f>IFERROR((VLOOKUP(A6,'API - io'!$A:$G,6,0)),"-")</f>
        <v>https://cdn.vietqr.io/img/MB.png</v>
      </c>
      <c r="J6" t="str">
        <f>IFERROR((VLOOKUP(A6,'API - io'!$A:$G,7,0)),"-")</f>
        <v>MBBank</v>
      </c>
    </row>
    <row r="7" spans="1:10" x14ac:dyDescent="0.3"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1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1:10" x14ac:dyDescent="0.3">
      <c r="A18">
        <v>17</v>
      </c>
      <c r="B18" t="s">
        <v>260</v>
      </c>
      <c r="C18" s="1" t="s">
        <v>261</v>
      </c>
      <c r="D18" t="s">
        <v>258</v>
      </c>
      <c r="E18" t="str">
        <f>IFERROR((VLOOKUP(A18,'API - io'!$A:$H,5,0)),"-")</f>
        <v>VietinBank</v>
      </c>
      <c r="F18" t="str">
        <f>IFERROR((VLOOKUP(A18,'API - io'!$A:$H,3,0)),"-")</f>
        <v>ICB</v>
      </c>
      <c r="G18">
        <f>IFERROR((VLOOKUP(A18,'API - io'!$A:$G,4,0)),"-")</f>
        <v>970415</v>
      </c>
      <c r="H18" t="str">
        <f>IFERROR((VLOOKUP(A18,'API - io'!$A:$G,5,0)),"-")</f>
        <v>VietinBank</v>
      </c>
      <c r="I18" t="str">
        <f>IFERROR((VLOOKUP(A18,'API - io'!$A:$G,6,0)),"-")</f>
        <v>https://cdn.vietqr.io/img/ICB.png</v>
      </c>
      <c r="J18" t="str">
        <f>IFERROR((VLOOKUP(A18,'API - io'!$A:$G,7,0)),"-")</f>
        <v>VietinBank</v>
      </c>
    </row>
    <row r="19" spans="1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1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1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1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1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1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1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1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1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1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1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1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1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1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zoomScale="70" zoomScaleNormal="70" workbookViewId="0">
      <selection activeCell="C19" sqref="C19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256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2026-06-16T15:14:26Z</dcterms:modified>
</cp:coreProperties>
</file>