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D935621E-98C6-4BF7-A249-25B26C4543F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<sst xmlns="http://schemas.openxmlformats.org/spreadsheetml/2006/main" count="359" uniqueCount="262">
  <si>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</si>
  <si>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</si>
  <si>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</si>
  <si>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</si>
  <si>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</si>
  <si>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</si>
  <si>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</si>
  <si>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</si>
  <si>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</si>
  <si>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</si>
  <si>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</si>
  <si>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</si>
  <si>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</si>
  <si>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</si>
  <si>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</si>
  <si>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</si>
  <si>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</si>
  <si>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</si>
  <si>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</si>
  <si>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</si>
  <si>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</si>
  <si>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</si>
  <si>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</si>
  <si>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</si>
  <si>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</si>
  <si>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</si>
  <si>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</si>
  <si>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</si>
  <si>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</si>
  <si>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</si>
  <si>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</si>
  <si>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</si>
  <si>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</si>
  <si>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</si>
  <si>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</si>
  <si>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</si>
  <si>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</si>
  <si>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</si>
  <si>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</si>
  <si>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</si>
  <si>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</si>
  <si>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</si>
  <si>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</si>
  <si>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</si>
  <si>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</si>
  <si>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</si>
  <si>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</si>
  <si>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</si>
  <si>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</si>
  <si>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</si>
  <si>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</si>
  <si>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</si>
  <si>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</si>
  <si>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</si>
  <si>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</si>
  <si>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</si>
  <si>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</si>
  <si>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</si>
  <si>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</si>
  <si>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</si>
  <si>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</si>
  <si>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</si>
  <si>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</si>
  <si>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</si>
  <si>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</si>
  <si>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</si>
  <si>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</si>
  <si>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</si>
  <si>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</si>
  <si>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</si>
  <si>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</si>
  <si>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</si>
  <si>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</si>
  <si>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</si>
  <si>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</si>
  <si>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</si>
  <si>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</si>
  <si>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</si>
  <si>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</si>
  <si>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</si>
  <si>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</si>
  <si>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</si>
  <si>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</si>
  <si>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</si>
  <si>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</si>
  <si>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</si>
  <si>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</si>
  <si>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</si>
  <si>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</si>
  <si>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</si>
  <si>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</si>
  <si>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</si>
  <si>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</si>
  <si>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</si>
  <si>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</si>
  <si>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</si>
  <si>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</si>
  <si>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</si>
  <si>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</si>
  <si>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</si>
  <si>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</si>
  <si>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</si>
  <si>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</si>
  <si>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</si>
  <si>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</si>
  <si>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</si>
  <si>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</si>
  <si>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</si>
  <si>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</si>
  <si>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</si>
  <si>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</si>
  <si>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</si>
  <si>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</si>
  <si>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</si>
  <si>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</si>
  <si>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</si>
  <si>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</si>
  <si>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</si>
  <si>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</si>
  <si>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</si>
  <si>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</si>
  <si>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</si>
  <si>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</si>
  <si>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</si>
  <si>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</si>
  <si>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</si>
  <si>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</si>
  <si>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</si>
  <si>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</si>
  <si>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</si>
  <si>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</si>
  <si>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</si>
  <si>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</si>
  <si>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</si>
  <si>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</si>
  <si>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</si>
  <si>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</si>
  <si>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</si>
  <si>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</si>
  <si>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</si>
  <si>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</si>
  <si>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</si>
  <si>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</si>
  <si>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</si>
  <si>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</si>
  <si>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</si>
  <si>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</si>
  <si>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</si>
  <si>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</si>
  <si>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</si>
  <si>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</si>
  <si>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</si>
  <si>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</si>
  <si>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</si>
  <si>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</si>
  <si>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</si>
  <si>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</si>
  <si>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</si>
  <si>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</si>
  <si>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</si>
  <si>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</si>
  <si>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</si>
  <si>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</si>
  <si>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</si>
  <si>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</si>
  <si>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</si>
  <si>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</si>
  <si>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</si>
  <si>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</si>
  <si>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</si>
  <si>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</si>
  <si>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</si>
  <si>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</si>
  <si>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</si>
  <si>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</si>
  <si>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</si>
  <si>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</si>
  <si>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</si>
  <si>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</si>
  <si>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</si>
  <si>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</si>
  <si>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</si>
  <si>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</si>
  <si>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</si>
  <si>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</si>
  <si>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</si>
  <si>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</si>
  <si>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</si>
  <si>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</si>
  <si>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</si>
  <si>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</si>
  <si>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</si>
  <si>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</si>
  <si>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</si>
  <si>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</si>
  <si>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</si>
  <si>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</si>
  <si>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</si>
  <si>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</si>
  <si>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</si>
  <si>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</si>
  <si>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</si>
  <si>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</si>
  <si>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</si>
  <si>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</si>
  <si>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</si>
  <si>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</si>
  <si>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</si>
  <si>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</si>
  <si>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</si>
  <si>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</si>
  <si>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</si>
  <si>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</si>
  <si>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</si>
  <si>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</si>
  <si>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</si>
  <si>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</si>
  <si>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</si>
  <si>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</si>
  <si>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</si>
  <si>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</si>
  <si>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</si>
  <si>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</si>
  <si>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</si>
  <si>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</si>
  <si>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</si>
  <si>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</si>
  <si>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</si>
  <si>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</si>
  <si>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</si>
  <si>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</si>
  <si>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</si>
  <si>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</si>
  <si>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</si>
  <si>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</si>
  <si>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</si>
  <si>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</si>
  <si>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</si>
  <si>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</si>
  <si>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</si>
  <si>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</si>
  <si>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</si>
  <si>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</si>
  <si>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</si>
  <si>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</si>
  <si>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</si>
  <si>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</si>
  <si>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</si>
  <si>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</si>
  <si>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</si>
  <si>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</si>
  <si>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</si>
  <si>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</si>
  <si>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</si>
  <si>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</si>
  <si>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</si>
  <si>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</si>
  <si>
    <t>VIB_064</t>
  </si>
  <si>
    <t>064933000</t>
  </si>
  <si>
    <t>VIB_052</t>
  </si>
  <si>
    <t>052004</t>
  </si>
  <si>
    <t>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</si>
</sst>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workbookViewId="0">
      <selection activeCell="F13" sqref="F13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255</v>
      </c>
      <c r="C2" s="1" t="s">
        <v>256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254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45</v>
      </c>
      <c r="B4" t="s">
        <v>257</v>
      </c>
      <c r="C4" s="1" t="s">
        <v>258</v>
      </c>
      <c r="D4" t="s">
        <v>10</v>
      </c>
      <c r="E4" t="str">
        <f>IFERROR((VLOOKUP(A4,'API - io'!$A:$H,5,0)),"-")</f>
        <v>VIB</v>
      </c>
      <c r="F4" t="str">
        <f>IFERROR((VLOOKUP(A4,'API - io'!$A:$H,3,0)),"-")</f>
        <v>VIB</v>
      </c>
      <c r="G4">
        <f>IFERROR((VLOOKUP(A4,'API - io'!$A:$G,4,0)),"-")</f>
        <v>970441</v>
      </c>
      <c r="H4" t="str">
        <f>IFERROR((VLOOKUP(A4,'API - io'!$A:$G,5,0)),"-")</f>
        <v>VIB</v>
      </c>
      <c r="I4" t="str">
        <f>IFERROR((VLOOKUP(A4,'API - io'!$A:$G,6,0)),"-")</f>
        <v>https://cdn.vietqr.io/img/VIB.png</v>
      </c>
      <c r="J4" t="str">
        <f>IFERROR((VLOOKUP(A4,'API - io'!$A:$G,7,0)),"-")</f>
        <v>VIB</v>
      </c>
    </row>
    <row r="5" spans="1:10" x14ac:dyDescent="0.3">
      <c r="A5">
        <v>45</v>
      </c>
      <c r="B5" t="s">
        <v>259</v>
      </c>
      <c r="C5" s="1" t="s">
        <v>260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C6" s="1"/>
      <c r="E6" t="str">
        <f>IFERROR((VLOOKUP(A6,'API - io'!$A:$H,5,0)),"-")</f>
        <v>-</v>
      </c>
      <c r="F6" t="str">
        <f>IFERROR((VLOOKUP(A6,'API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abSelected="1" topLeftCell="B1" workbookViewId="0">
      <selection activeCell="E11" sqref="E11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261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2026-06-04T04:16:43Z</dcterms:modified>
</cp:coreProperties>
</file>