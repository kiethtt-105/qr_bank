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68BB683F-D84C-459D-8199-9B7D90EC88AF}" xr6:coauthVersionLast="47" xr6:coauthVersionMax="47" xr10:uidLastSave="{00000000-0000-0000-0000-000000000000}"/>
  <bookViews>
    <workbookView xWindow="4212" yWindow="3396" windowWidth="17280" windowHeight="8964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<sst xmlns="http://schemas.openxmlformats.org/spreadsheetml/2006/main" count="367" uniqueCount="267">
  <si>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</si>
  <si>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</si>
  <si>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</si>
  <si>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</si>
  <si>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</si>
  <si>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</si>
  <si>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</si>
  <si>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</si>
  <si>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</si>
  <si>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</si>
  <si>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</si>
  <si>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</si>
  <si>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</si>
  <si>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</si>
  <si>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</si>
  <si>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</si>
  <si>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</si>
  <si>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</si>
  <si>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</si>
  <si>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</si>
  <si>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</si>
  <si>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</si>
  <si>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</si>
  <si>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</si>
  <si>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</si>
  <si>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</si>
  <si>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</si>
  <si>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</si>
  <si>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</si>
  <si>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</si>
  <si>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</si>
  <si>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</si>
  <si>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</si>
  <si>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</si>
  <si>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</si>
  <si>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</si>
  <si>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</si>
  <si>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</si>
  <si>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</si>
  <si>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</si>
  <si>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</si>
  <si>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</si>
  <si>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</si>
  <si>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</si>
  <si>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</si>
  <si>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</si>
  <si>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</si>
  <si>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</si>
  <si>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</si>
  <si>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</si>
  <si>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</si>
  <si>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</si>
  <si>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</si>
  <si>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</si>
  <si>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</si>
  <si>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</si>
  <si>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</si>
  <si>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</si>
  <si>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</si>
  <si>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</si>
  <si>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</si>
  <si>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</si>
  <si>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</si>
  <si>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</si>
  <si>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</si>
  <si>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</si>
  <si>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</si>
  <si>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</si>
  <si>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</si>
  <si>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</si>
  <si>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</si>
  <si>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</si>
  <si>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</si>
  <si>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</si>
  <si>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</si>
  <si>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</si>
  <si>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</si>
  <si>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</si>
  <si>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</si>
  <si>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</si>
  <si>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</si>
  <si>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</si>
  <si>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</si>
  <si>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</si>
  <si>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</si>
  <si>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</si>
  <si>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</si>
  <si>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</si>
  <si>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</si>
  <si>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</si>
  <si>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</si>
  <si>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</si>
  <si>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</si>
  <si>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</si>
  <si>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</si>
  <si>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</si>
  <si>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</si>
  <si>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</si>
  <si>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</si>
  <si>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</si>
  <si>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</si>
  <si>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</si>
  <si>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</si>
  <si>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</si>
  <si>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</si>
  <si>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</si>
  <si>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</si>
  <si>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</si>
  <si>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</si>
  <si>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</si>
  <si>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</si>
  <si>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</si>
  <si>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</si>
  <si>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</si>
  <si>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</si>
  <si>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</si>
  <si>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</si>
  <si>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</si>
  <si>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</si>
  <si>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</si>
  <si>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</si>
  <si>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</si>
  <si>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</si>
  <si>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</si>
  <si>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</si>
  <si>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</si>
  <si>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</si>
  <si>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</si>
  <si>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</si>
  <si>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</si>
  <si>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</si>
  <si>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</si>
  <si>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</si>
  <si>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</si>
  <si>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</si>
  <si>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</si>
  <si>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</si>
  <si>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</si>
  <si>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</si>
  <si>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</si>
  <si>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</si>
  <si>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</si>
  <si>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</si>
  <si>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</si>
  <si>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</si>
  <si>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</si>
  <si>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</si>
  <si>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</si>
  <si>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</si>
  <si>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</si>
  <si>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</si>
  <si>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</si>
  <si>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</si>
  <si>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</si>
  <si>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</si>
  <si>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</si>
  <si>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</si>
  <si>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</si>
  <si>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</si>
  <si>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</si>
  <si>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</si>
  <si>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</si>
  <si>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</si>
  <si>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</si>
  <si>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</si>
  <si>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</si>
  <si>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</si>
  <si>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</si>
  <si>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</si>
  <si>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</si>
  <si>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</si>
  <si>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</si>
  <si>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</si>
  <si>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</si>
  <si>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</si>
  <si>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</si>
  <si>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</si>
  <si>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</si>
  <si>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</si>
  <si>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</si>
  <si>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</si>
  <si>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</si>
  <si>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</si>
  <si>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</si>
  <si>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</si>
  <si>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</si>
  <si>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</si>
  <si>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</si>
  <si>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</si>
  <si>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</si>
  <si>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</si>
  <si>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</si>
  <si>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</si>
  <si>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</si>
  <si>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</si>
  <si>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</si>
  <si>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</si>
  <si>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</si>
  <si>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</si>
  <si>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</si>
  <si>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</si>
  <si>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</si>
  <si>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</si>
  <si>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</si>
  <si>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</si>
  <si>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</si>
  <si>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</si>
  <si>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</si>
  <si>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</si>
  <si>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</si>
  <si>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</si>
  <si>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</si>
  <si>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</si>
  <si>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</si>
  <si>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</si>
  <si>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</si>
  <si>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</si>
  <si>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</si>
  <si>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</si>
  <si>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</si>
  <si>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</si>
  <si>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</si>
  <si>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</si>
  <si>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</si>
  <si>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</si>
  <si>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</si>
  <si>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</si>
  <si>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</si>
  <si>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</si>
  <si>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</si>
  <si>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</si>
  <si>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</si>
  <si>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</si>
  <si>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</si>
  <si>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</si>
  <si>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</si>
  <si>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</si>
  <si>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</si>
  <si>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</si>
  <si>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</si>
  <si>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</si>
  <si>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</si>
  <si>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</si>
  <si>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</si>
  <si>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</si>
  <si>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</si>
  <si>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</si>
  <si>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</si>
  <si>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</si>
  <si>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</si>
  <si>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</si>
  <si>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</si>
  <si>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</si>
  <si>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</si>
  <si>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</si>
  <si>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</si>
  <si>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052004</t>
  </si>
  <si>
    <t>Template</t>
  </si>
  <si>
    <t>iPA</t>
  </si>
  <si>
    <t>Tech - 999</t>
  </si>
  <si>
    <t>VIB - 000</t>
  </si>
  <si>
    <t>VIB - 004</t>
  </si>
  <si>
    <t>Phan Le Duy Khoi</t>
  </si>
  <si>
    <t>Viettel Money</t>
  </si>
  <si>
    <t>PhanLe Duy Khoi</t>
  </si>
  <si>
    <t>105878043349</t>
  </si>
  <si>
    <t>9704229201938102578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</si>
</sst>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49" fontId="0" fillId="0" borderId="0" xfId="0" quotePrefix="1" applyNumberFormat="1"/>
    <xf numFmtId="49" fontId="0" fillId="0" borderId="0" xfId="0" quotePrefix="1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D4" sqref="D4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258</v>
      </c>
      <c r="C2" s="2" t="s">
        <v>254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 s="3">
        <v>1031451081</v>
      </c>
      <c r="D3" t="s">
        <v>10</v>
      </c>
      <c r="E3" t="str">
        <f>IFERROR((VLOOKUP(A3,'API - io'!$A:$H,5,0)),"-")</f>
        <v>Vietcombank</v>
      </c>
      <c r="F3" t="str">
        <f>IFERROR((VLOOKUP(A3,'API - io'!$A:$H,3,0)),"-")</f>
        <v>VCB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38</v>
      </c>
      <c r="B4" t="s">
        <v>259</v>
      </c>
      <c r="C4" s="4">
        <v>44699999999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260</v>
      </c>
      <c r="C5" s="2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45</v>
      </c>
      <c r="B6" t="s">
        <v>261</v>
      </c>
      <c r="C6" s="2" t="s">
        <v>256</v>
      </c>
      <c r="D6" t="s">
        <v>10</v>
      </c>
      <c r="E6" t="str">
        <f>IFERROR((VLOOKUP(A6,'API - io'!$A:$H,5,0)),"-")</f>
        <v>VIB</v>
      </c>
      <c r="F6" t="str">
        <f>IFERROR((VLOOKUP(A6,'API - io'!$A:$H,3,0)),"-")</f>
        <v>VIB</v>
      </c>
      <c r="G6">
        <f>IFERROR((VLOOKUP(A6,'API - io'!$A:$G,4,0)),"-")</f>
        <v>970441</v>
      </c>
      <c r="H6" t="str">
        <f>IFERROR((VLOOKUP(A6,'API - io'!$A:$G,5,0)),"-")</f>
        <v>VIB</v>
      </c>
      <c r="I6" t="str">
        <f>IFERROR((VLOOKUP(A6,'API - io'!$A:$G,6,0)),"-")</f>
        <v>https://cdn.vietqr.io/img/VIB.png</v>
      </c>
      <c r="J6" t="str">
        <f>IFERROR((VLOOKUP(A6,'API - io'!$A:$G,7,0)),"-")</f>
        <v>VIB</v>
      </c>
    </row>
    <row r="7" spans="1:10" x14ac:dyDescent="0.3">
      <c r="C7" s="2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A8">
        <v>21</v>
      </c>
      <c r="B8" t="s">
        <v>263</v>
      </c>
      <c r="C8" s="2" t="s">
        <v>266</v>
      </c>
      <c r="D8" t="s">
        <v>10</v>
      </c>
      <c r="E8" t="str">
        <f>IFERROR((VLOOKUP(A8,'API - io'!$A:$H,5,0)),"-")</f>
        <v>MBBank</v>
      </c>
      <c r="F8" t="str">
        <f>IFERROR((VLOOKUP(A8,'API - io'!$A:$H,3,0)),"-")</f>
        <v>MB</v>
      </c>
      <c r="G8">
        <f>IFERROR((VLOOKUP(A8,'API - io'!$A:$G,4,0)),"-")</f>
        <v>970422</v>
      </c>
      <c r="H8" t="str">
        <f>IFERROR((VLOOKUP(A8,'API - io'!$A:$G,5,0)),"-")</f>
        <v>MBBank</v>
      </c>
      <c r="I8" t="str">
        <f>IFERROR((VLOOKUP(A8,'API - io'!$A:$G,6,0)),"-")</f>
        <v>https://cdn.vietqr.io/img/MB.png</v>
      </c>
      <c r="J8" t="str">
        <f>IFERROR((VLOOKUP(A8,'API - io'!$A:$G,7,0)),"-")</f>
        <v>MBBank</v>
      </c>
    </row>
    <row r="9" spans="1:10" x14ac:dyDescent="0.3">
      <c r="C9" s="4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4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A11">
        <v>17</v>
      </c>
      <c r="B11" t="s">
        <v>264</v>
      </c>
      <c r="C11" s="2" t="s">
        <v>265</v>
      </c>
      <c r="D11" t="s">
        <v>262</v>
      </c>
      <c r="E11" t="str">
        <f>IFERROR((VLOOKUP(A11,'API - io'!$A:$H,5,0)),"-")</f>
        <v>VietinBank</v>
      </c>
      <c r="F11" t="str">
        <f>IFERROR((VLOOKUP(A11,'API - io'!$A:$H,3,0)),"-")</f>
        <v>ICB</v>
      </c>
      <c r="G11">
        <f>IFERROR((VLOOKUP(A11,'API - io'!$A:$G,4,0)),"-")</f>
        <v>970415</v>
      </c>
      <c r="H11" t="str">
        <f>IFERROR((VLOOKUP(A11,'API - io'!$A:$G,5,0)),"-")</f>
        <v>VietinBank</v>
      </c>
      <c r="I11" t="str">
        <f>IFERROR((VLOOKUP(A11,'API - io'!$A:$G,6,0)),"-")</f>
        <v>https://cdn.vietqr.io/img/ICB.png</v>
      </c>
      <c r="J11" t="str">
        <f>IFERROR((VLOOKUP(A11,'API - io'!$A:$G,7,0)),"-")</f>
        <v>VietinBank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pageSetup orientation="portrait" r:id="rId100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15" workbookViewId="0">
      <selection activeCell="B40" sqref="B40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257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2026-06-06T19:33:43Z</dcterms:modified>
</cp:coreProperties>
</file>