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64E94DA6-4919-42FF-9612-EC0E2F67A0B6}" xr6:coauthVersionLast="47" xr6:coauthVersionMax="47" xr10:uidLastSave="{00000000-0000-0000-0000-000000000000}"/>
  <bookViews>
    <workbookView xWindow="5604" yWindow="3396" windowWidth="17280" windowHeight="8964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<sst xmlns="http://schemas.openxmlformats.org/spreadsheetml/2006/main" count="364" uniqueCount="264">
  <si>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</si>
  <si>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</si>
  <si>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</si>
  <si>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</si>
  <si>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</si>
  <si>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</si>
  <si>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</si>
  <si>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</si>
  <si>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</si>
  <si>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</si>
  <si>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</si>
  <si>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</si>
  <si>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</si>
  <si>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</si>
  <si>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</si>
  <si>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</si>
  <si>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</si>
  <si>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</si>
  <si>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</si>
  <si>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</si>
  <si>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</si>
  <si>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</si>
  <si>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</si>
  <si>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</si>
  <si>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</si>
  <si>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</si>
  <si>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</si>
  <si>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</si>
  <si>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</si>
  <si>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</si>
  <si>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</si>
  <si>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</si>
  <si>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</si>
  <si>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</si>
  <si>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</si>
  <si>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</si>
  <si>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</si>
  <si>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</si>
  <si>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</si>
  <si>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</si>
  <si>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</si>
  <si>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</si>
  <si>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</si>
  <si>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</si>
  <si>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</si>
  <si>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</si>
  <si>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</si>
  <si>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</si>
  <si>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</si>
  <si>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</si>
  <si>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</si>
  <si>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</si>
  <si>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</si>
  <si>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</si>
  <si>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</si>
  <si>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</si>
  <si>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</si>
  <si>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</si>
  <si>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</si>
  <si>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</si>
  <si>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</si>
  <si>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</si>
  <si>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</si>
  <si>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</si>
  <si>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</si>
  <si>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</si>
  <si>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</si>
  <si>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</si>
  <si>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</si>
  <si>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</si>
  <si>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</si>
  <si>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</si>
  <si>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</si>
  <si>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</si>
  <si>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</si>
  <si>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</si>
  <si>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</si>
  <si>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</si>
  <si>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</si>
  <si>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</si>
  <si>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</si>
  <si>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</si>
  <si>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</si>
  <si>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</si>
  <si>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</si>
  <si>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</si>
  <si>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</si>
  <si>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</si>
  <si>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</si>
  <si>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</si>
  <si>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</si>
  <si>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</si>
  <si>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</si>
  <si>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</si>
  <si>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</si>
  <si>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</si>
  <si>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</si>
  <si>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</si>
  <si>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</si>
  <si>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</si>
  <si>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</si>
  <si>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</si>
  <si>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</si>
  <si>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</si>
  <si>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</si>
  <si>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</si>
  <si>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</si>
  <si>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</si>
  <si>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</si>
  <si>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</si>
  <si>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</si>
  <si>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</si>
  <si>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</si>
  <si>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</si>
  <si>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</si>
  <si>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</si>
  <si>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</si>
  <si>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</si>
  <si>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</si>
  <si>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</si>
  <si>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</si>
  <si>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</si>
  <si>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</si>
  <si>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</si>
  <si>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</si>
  <si>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</si>
  <si>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</si>
  <si>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</si>
  <si>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</si>
  <si>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</si>
  <si>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</si>
  <si>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</si>
  <si>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</si>
  <si>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</si>
  <si>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</si>
  <si>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</si>
  <si>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</si>
  <si>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</si>
  <si>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</si>
  <si>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</si>
  <si>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</si>
  <si>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</si>
  <si>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</si>
  <si>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</si>
  <si>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</si>
  <si>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</si>
  <si>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</si>
  <si>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</si>
  <si>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</si>
  <si>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</si>
  <si>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</si>
  <si>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</si>
  <si>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</si>
  <si>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</si>
  <si>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</si>
  <si>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</si>
  <si>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</si>
  <si>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</si>
  <si>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</si>
  <si>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</si>
  <si>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</si>
  <si>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</si>
  <si>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</si>
  <si>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</si>
  <si>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</si>
  <si>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</si>
  <si>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</si>
  <si>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</si>
  <si>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</si>
  <si>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</si>
  <si>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</si>
  <si>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</si>
  <si>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</si>
  <si>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</si>
  <si>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</si>
  <si>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</si>
  <si>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</si>
  <si>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</si>
  <si>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</si>
  <si>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</si>
  <si>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</si>
  <si>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</si>
  <si>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</si>
  <si>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</si>
  <si>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</si>
  <si>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</si>
  <si>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</si>
  <si>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</si>
  <si>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</si>
  <si>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</si>
  <si>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</si>
  <si>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</si>
  <si>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</si>
  <si>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</si>
  <si>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</si>
  <si>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</si>
  <si>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</si>
  <si>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</si>
  <si>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</si>
  <si>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</si>
  <si>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</si>
  <si>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</si>
  <si>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</si>
  <si>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</si>
  <si>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</si>
  <si>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</si>
  <si>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</si>
  <si>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</si>
  <si>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</si>
  <si>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</si>
  <si>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</si>
  <si>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</si>
  <si>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</si>
  <si>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</si>
  <si>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</si>
  <si>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</si>
  <si>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</si>
  <si>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</si>
  <si>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</si>
  <si>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</si>
  <si>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</si>
  <si>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</si>
  <si>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</si>
  <si>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</si>
  <si>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</si>
  <si>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</si>
  <si>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</si>
  <si>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</si>
  <si>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</si>
  <si>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</si>
  <si>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</si>
  <si>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</si>
  <si>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</si>
  <si>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</si>
  <si>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</si>
  <si>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</si>
  <si>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</si>
  <si>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</si>
  <si>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</si>
  <si>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</si>
  <si>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</si>
  <si>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</si>
  <si>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</si>
  <si>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</si>
  <si>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</si>
  <si>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</si>
  <si>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</si>
  <si>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</si>
  <si>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</si>
  <si>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</si>
  <si>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</si>
  <si>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</si>
  <si>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</si>
  <si>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</si>
  <si>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</si>
  <si>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</si>
  <si>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Template</t>
  </si>
  <si>
    <t>iPA</t>
  </si>
  <si>
    <t>Phan Le Duy Khoi</t>
  </si>
  <si>
    <t>Viettel Money</t>
  </si>
  <si>
    <t>PhanLe Duy Khoi</t>
  </si>
  <si>
    <t>105878043349</t>
  </si>
  <si>
    <t>9704229201938102578</t>
  </si>
  <si>
    <t xml:space="preserve">VIB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</si>
</sst>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D10" sqref="D10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257</v>
      </c>
      <c r="C2" s="2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3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154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263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21</v>
      </c>
      <c r="B6" t="s">
        <v>259</v>
      </c>
      <c r="C6" s="2" t="s">
        <v>262</v>
      </c>
      <c r="D6" t="s">
        <v>10</v>
      </c>
      <c r="E6" t="str">
        <f>IFERROR((VLOOKUP(A6,'API - io'!$A:$H,5,0)),"-")</f>
        <v>MBBank</v>
      </c>
      <c r="F6" t="str">
        <f>IFERROR((VLOOKUP(A6,'API - io'!$A:$H,3,0)),"-")</f>
        <v>MB</v>
      </c>
      <c r="G6">
        <f>IFERROR((VLOOKUP(A6,'API - io'!$A:$G,4,0)),"-")</f>
        <v>970422</v>
      </c>
      <c r="H6" t="str">
        <f>IFERROR((VLOOKUP(A6,'API - io'!$A:$G,5,0)),"-")</f>
        <v>MBBank</v>
      </c>
      <c r="I6" t="str">
        <f>IFERROR((VLOOKUP(A6,'API - io'!$A:$G,6,0)),"-")</f>
        <v>https://cdn.vietqr.io/img/MB.png</v>
      </c>
      <c r="J6" t="str">
        <f>IFERROR((VLOOKUP(A6,'API - io'!$A:$G,7,0)),"-")</f>
        <v>MBBank</v>
      </c>
    </row>
    <row r="7" spans="1:10" x14ac:dyDescent="0.3">
      <c r="A7">
        <v>17</v>
      </c>
      <c r="B7" t="s">
        <v>260</v>
      </c>
      <c r="C7" s="2" t="s">
        <v>261</v>
      </c>
      <c r="D7" t="s">
        <v>258</v>
      </c>
      <c r="E7" t="str">
        <f>IFERROR((VLOOKUP(A7,'API - io'!$A:$H,5,0)),"-")</f>
        <v>VietinBank</v>
      </c>
      <c r="F7" t="str">
        <f>IFERROR((VLOOKUP(A7,'API - io'!$A:$H,3,0)),"-")</f>
        <v>ICB</v>
      </c>
      <c r="G7">
        <f>IFERROR((VLOOKUP(A7,'API - io'!$A:$G,4,0)),"-")</f>
        <v>970415</v>
      </c>
      <c r="H7" t="str">
        <f>IFERROR((VLOOKUP(A7,'API - io'!$A:$G,5,0)),"-")</f>
        <v>VietinBank</v>
      </c>
      <c r="I7" t="str">
        <f>IFERROR((VLOOKUP(A7,'API - io'!$A:$G,6,0)),"-")</f>
        <v>https://cdn.vietqr.io/img/ICB.png</v>
      </c>
      <c r="J7" t="str">
        <f>IFERROR((VLOOKUP(A7,'API - io'!$A:$G,7,0)),"-")</f>
        <v>VietinBank</v>
      </c>
    </row>
    <row r="8" spans="1:10" x14ac:dyDescent="0.3"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2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C16" workbookViewId="0">
      <selection activeCell="E28" sqref="E28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256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2026-06-09T16:11:32Z</dcterms:modified>
</cp:coreProperties>
</file>